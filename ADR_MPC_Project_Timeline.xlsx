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Timeline" sheetId="1" state="visible" r:id="rId3"/>
    <sheet name="Learning Plan" sheetId="2" state="visible" r:id="rId4"/>
    <sheet name="Target Lab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<sst xmlns="http://schemas.openxmlformats.org/spreadsheetml/2006/main" count="406" uniqueCount="256">
  <si>
    <t xml:space="preserve">ID</t>
  </si>
  <si>
    <t xml:space="preserve">Phase</t>
  </si>
  <si>
    <t xml:space="preserve">Task</t>
  </si>
  <si>
    <t xml:space="preserve">Start Date</t>
  </si>
  <si>
    <t xml:space="preserve">End Date</t>
  </si>
  <si>
    <t xml:space="preserve">Duration (days)</t>
  </si>
  <si>
    <t xml:space="preserve">Parallel / Sequencing Notes</t>
  </si>
  <si>
    <t xml:space="preserve">Status</t>
  </si>
  <si>
    <t xml:space="preserve">Deliverable / Notes</t>
  </si>
  <si>
    <t xml:space="preserve">Phase 0 – Setup &amp; Literature</t>
  </si>
  <si>
    <t xml:space="preserve">Learn Git &amp; GitHub basics (init, add, commit, push, .gitignore, README, basic branching); create the GitHub repository (L1)</t>
  </si>
  <si>
    <t xml:space="preserve">—</t>
  </si>
  <si>
    <t xml:space="preserve">Done</t>
  </si>
  <si>
    <t xml:space="preserve">Do this before writing a single line of project code — see chat for the concrete repo structure.</t>
  </si>
  <si>
    <t xml:space="preserve">Learn Python fundamentals coming from MATLAB: syntax, NumPy arrays &amp; 0-based indexing, functions, control flow (L2)</t>
  </si>
  <si>
    <t xml:space="preserve">Parallel with Tasks 1, 3, 4, 5</t>
  </si>
  <si>
    <t xml:space="preserve">In progress</t>
  </si>
  <si>
    <t xml:space="preserve">No prior Python experience assumed — budget real time for this.</t>
  </si>
  <si>
    <t xml:space="preserve">Set up Python environment (venv), VS Code + Jupyter integration, requirements.txt; build folder structure inside the repo (dynamics/, mpc/, sim/, tests/, docs/, notebooks/); first commit</t>
  </si>
  <si>
    <t xml:space="preserve">After Task 1</t>
  </si>
  <si>
    <t xml:space="preserve">Read 3–4 recent LA3 (Colin Jones) papers + skim rendezvous/ADR MPC literature (survey-level)</t>
  </si>
  <si>
    <t xml:space="preserve">Parallel with Tasks 1, 2, 3</t>
  </si>
  <si>
    <t xml:space="preserve">Not started</t>
  </si>
  <si>
    <t xml:space="preserve">This is what makes the motivation letter specific instead of generic.</t>
  </si>
  <si>
    <t xml:space="preserve">Study linear systems &amp; state-space representation (L3)</t>
  </si>
  <si>
    <t xml:space="preserve">Parallel with Tasks 1–4</t>
  </si>
  <si>
    <t xml:space="preserve">Study CW derivation, assumptions, forced response &amp; ZOH discretization theory (L4)</t>
  </si>
  <si>
    <t xml:space="preserve">Parallel with Task 4, after Task 5</t>
  </si>
  <si>
    <t xml:space="preserve">Phase 1 – Translational Dynamics (3-DoF)</t>
  </si>
  <si>
    <t xml:space="preserve">Derive continuous-time CW state-space model (A, B) in LVLH frame, including the control-acceleration input; write-up per L19</t>
  </si>
  <si>
    <t xml:space="preserve">Math write-up before any code.</t>
  </si>
  <si>
    <t xml:space="preserve">Discretize (ZOH / state transition matrix), implement propagator</t>
  </si>
  <si>
    <t xml:space="preserve">Unit tests: propagator vs. analytic CW solution (free-drift ellipse check)</t>
  </si>
  <si>
    <t xml:space="preserve">First real test in tests/ — not optional.</t>
  </si>
  <si>
    <t xml:space="preserve">Study state estimation / noise modeling basics (L5), then add Gaussian process + measurement noise to the sim, with a basic Kalman filter feeding the controller</t>
  </si>
  <si>
    <t xml:space="preserve">Parallel with Task 9 tail</t>
  </si>
  <si>
    <t xml:space="preserve">Without this, the whole project assumes perfect knowledge — a real weak point. If time is tight, the minimal KF can slip to just before Task 20.</t>
  </si>
  <si>
    <t xml:space="preserve">Build nonlinear two-body plant (sim/) + CW-vs-nonlinear sweep over target eccentricity e and separation ρ (L20); short write-up: CW linearization assumptions &amp; validity limits</t>
  </si>
  <si>
    <t xml:space="preserve">Parallel with Task 10 and start of Task 12</t>
  </si>
  <si>
    <t xml:space="preserve">Goes in docs/ — one page is enough. Sweep above SL-16's e≈1e-3 is a stress test, label it as such. End date moved 9→11 Oct; Phase 2 opens with study tasks, so no critical-path impact.</t>
  </si>
  <si>
    <t xml:space="preserve">Phase 2 – Linear MPC (Translational)</t>
  </si>
  <si>
    <t xml:space="preserve">Study convex optimization fundamentals (L6)</t>
  </si>
  <si>
    <t xml:space="preserve">Parallel with Task 13 start</t>
  </si>
  <si>
    <t xml:space="preserve">Study MPC theory: receding horizon, cost design, terminal ingredients, stability intro (L7)</t>
  </si>
  <si>
    <t xml:space="preserve">Formulate QP/SOCP: cost function, horizon N, thrust constraints, keep-out / approach-cone constraints (hard) — convex modeling per L21</t>
  </si>
  <si>
    <t xml:space="preserve">Write the formulation doc before opening CVXPY.</t>
  </si>
  <si>
    <t xml:space="preserve">Study soft constraints &amp; recursive feasibility basics (L8)</t>
  </si>
  <si>
    <t xml:space="preserve">Parallel with Task 14</t>
  </si>
  <si>
    <t xml:space="preserve">Extend formulation with soft constraints (slack variables) for guaranteed feasibility</t>
  </si>
  <si>
    <t xml:space="preserve">Talking point #1 for the interview.</t>
  </si>
  <si>
    <t xml:space="preserve">Study CVXPY practical usage (L9)</t>
  </si>
  <si>
    <t xml:space="preserve">Parallel with Task 16</t>
  </si>
  <si>
    <t xml:space="preserve">Implement linear MPC in CVXPY (nominal, noiseless case)</t>
  </si>
  <si>
    <t xml:space="preserve">Closed-loop nominal simulation + core metrics (fuel/Δv consumption, settling time, constraint violations)</t>
  </si>
  <si>
    <t xml:space="preserve">First real deliverable — usable in CV/interview from here.</t>
  </si>
  <si>
    <t xml:space="preserve">Closed-loop Monte Carlo simulation under navigation noise + CW-vs-plant mismatch (dispersion plots, robustness check; L22)</t>
  </si>
  <si>
    <t xml:space="preserve">Talking point #2: how the controller degrades under realistic uncertainty.</t>
  </si>
  <si>
    <t xml:space="preserve">Unit tests for MPC module (feasibility checks, solver status handling)</t>
  </si>
  <si>
    <t xml:space="preserve">Parallel with Task 22</t>
  </si>
  <si>
    <t xml:space="preserve">Document Phase 1–2 results (plots, metrics table) in repo README/report</t>
  </si>
  <si>
    <t xml:space="preserve">Parallel with Task 21</t>
  </si>
  <si>
    <t xml:space="preserve">This is what you screen-share if interviewed early.</t>
  </si>
  <si>
    <t xml:space="preserve">Application (parallel track)</t>
  </si>
  <si>
    <t xml:space="preserve">Align motivation letter language with LA3 + shortlisted labs' recent papers</t>
  </si>
  <si>
    <t xml:space="preserve">Parallel with Phase 0–1</t>
  </si>
  <si>
    <t xml:space="preserve">Draft CV bullets + motivation letter using Phase 1–2 results/plots</t>
  </si>
  <si>
    <t xml:space="preserve">Parallel with Phase 2 tail</t>
  </si>
  <si>
    <t xml:space="preserve">MILESTONE: Submit E3 application (up to 3 lab choices, CV, transcripts, statement of purpose, ID)</t>
  </si>
  <si>
    <t xml:space="preserve">Hard deadline — confirmed on eee.epfl.ch</t>
  </si>
  <si>
    <t xml:space="preserve">Portal opens Oct 2026, closes Nov 1, 2026.</t>
  </si>
  <si>
    <t xml:space="preserve">Keep GitHub repo continuously updated &amp; interview-ready (rolling — do not batch this at the end)</t>
  </si>
  <si>
    <t xml:space="preserve">Runs in parallel with everything below</t>
  </si>
  <si>
    <t xml:space="preserve">Interviews can happen any time Nov–early Mar — the repo must be presentable throughout, not just in January.</t>
  </si>
  <si>
    <t xml:space="preserve">Phase 3 – Rotational Dynamics (3-DoF)</t>
  </si>
  <si>
    <t xml:space="preserve">Study attitude kinematics &amp; dynamics: quaternions/MRPs, Euler's equations (L10)</t>
  </si>
  <si>
    <t xml:space="preserve">Formulate nonlinear attitude dynamics</t>
  </si>
  <si>
    <t xml:space="preserve">Linearize (small-angle / MRP) for use inside a linear MPC (L11)</t>
  </si>
  <si>
    <t xml:space="preserve">Parallel with Task 28 tail</t>
  </si>
  <si>
    <t xml:space="preserve">Unit tests: attitude propagator validation</t>
  </si>
  <si>
    <t xml:space="preserve">Phase 4 – Rotational MPC</t>
  </si>
  <si>
    <t xml:space="preserve">Study RW/RCS actuator constraints &amp; torque allocation basics (L12)</t>
  </si>
  <si>
    <t xml:space="preserve">Formulate attitude MPC (torque/momentum saturation, soft constraints where needed)</t>
  </si>
  <si>
    <t xml:space="preserve">Implement + closed-loop detumble/pointing simulation + metrics</t>
  </si>
  <si>
    <t xml:space="preserve">Monte Carlo robustness test under attitude estimation noise</t>
  </si>
  <si>
    <t xml:space="preserve">PORTFOLIO CHECKPOINT #1: integrate translational + rotational results into one unified report</t>
  </si>
  <si>
    <t xml:space="preserve">Safe fallback deliverable if the interview happens before Phase 5 is mature.</t>
  </si>
  <si>
    <t xml:space="preserve">Phase 5 – Nonlinear Coupled 6-DoF MPC</t>
  </si>
  <si>
    <t xml:space="preserve">Study NMPC theory: multiple shooting, direct collocation, SQP/interior-point basics (L13)</t>
  </si>
  <si>
    <t xml:space="preserve">Study CasADi practical usage + example patterns (L14)</t>
  </si>
  <si>
    <t xml:space="preserve">Parallel with Task 36 tail</t>
  </si>
  <si>
    <t xml:space="preserve">Study solver internals: why OSQP/ECOS for QP vs. IPOPT for NLP, warm-starting (L15)</t>
  </si>
  <si>
    <t xml:space="preserve">Parallel with Task 37 / holidays</t>
  </si>
  <si>
    <t xml:space="preserve">Formulate coupled nonlinear 6-DoF model (translation–rotation coupling via docking-port offset; L23)</t>
  </si>
  <si>
    <t xml:space="preserve">This is the 'frontier' you present as in-progress at the interview.</t>
  </si>
  <si>
    <t xml:space="preserve">Implement NMPC in CasADi (multiple shooting), first working closed-loop test case</t>
  </si>
  <si>
    <t xml:space="preserve">A rough working version is enough — do not over-polish before validating it works at all.</t>
  </si>
  <si>
    <t xml:space="preserve">Full validation suite: Monte Carlo over initial conditions + noise, metrics table, solver-time stats</t>
  </si>
  <si>
    <t xml:space="preserve">Recursive feasibility / terminal set discussion — analytical or qualitative write-up</t>
  </si>
  <si>
    <t xml:space="preserve">Parallel with Task 41 tail</t>
  </si>
  <si>
    <t xml:space="preserve">Even a qualitative discussion is a strong interview talking point.</t>
  </si>
  <si>
    <t xml:space="preserve">PORTFOLIO CHECKPOINT #2: full 6-DoF results integrated into repo + report</t>
  </si>
  <si>
    <t xml:space="preserve">No hard deadline — extend if needed, this is research-grade work</t>
  </si>
  <si>
    <t xml:space="preserve">It is fine — expected, even — for this to still be open at interview time.</t>
  </si>
  <si>
    <t xml:space="preserve">Phase 6 – Stretch Goals (optional)</t>
  </si>
  <si>
    <t xml:space="preserve">Study robust / tube MPC concepts (L17) — directly ties to LA3's own research</t>
  </si>
  <si>
    <t xml:space="preserve">Explore a robust or tube-based MPC extension on the translational subsystem</t>
  </si>
  <si>
    <t xml:space="preserve">Optional — only if Phase 5 finished with time to spare.</t>
  </si>
  <si>
    <t xml:space="preserve">Optional: simple synthetic vision-based relative pose estimation module (closes the GNC sense loop; L24)</t>
  </si>
  <si>
    <t xml:space="preserve">Can run parallel with Task 45</t>
  </si>
  <si>
    <t xml:space="preserve">Relevant if targeting Cavallaro/LIDIAP as a lab choice — see Target Labs sheet.</t>
  </si>
  <si>
    <t xml:space="preserve">Optional: learning-based MPC exploration (e.g. Gaussian process or NN model-mismatch correction; L25)</t>
  </si>
  <si>
    <t xml:space="preserve">Ties back to your original AI/ML interest without abandoning the control core.</t>
  </si>
  <si>
    <t xml:space="preserve">Prepare a short conference-style write-up/poster of the full project as a standalone portfolio artifact</t>
  </si>
  <si>
    <t xml:space="preserve">Good to have before the internship itself starts (May–Oct 2027).</t>
  </si>
  <si>
    <t xml:space="preserve">Interview Prep (parallel track)</t>
  </si>
  <si>
    <t xml:space="preserve">Prepare talking points: CW → linear MPC → 6-DoF NMPC narrative, open problems, stability/feasibility discussion</t>
  </si>
  <si>
    <t xml:space="preserve">Parallel with Phase 3 start — do this early, interviews can start mid-Nov</t>
  </si>
  <si>
    <t xml:space="preserve">Mock technical interview (self Q&amp;A or with a peer/professor)</t>
  </si>
  <si>
    <t xml:space="preserve">Repeat again in Jan/Feb if the interview hasn't happened yet.</t>
  </si>
  <si>
    <t xml:space="preserve">Lab-specific Q&amp;A prep: re-read papers of whichever lab actually invites you, anticipate questions</t>
  </si>
  <si>
    <t xml:space="preserve">Rolling — triggered by an actual interview invite, not a fixed date</t>
  </si>
  <si>
    <t xml:space="preserve">See Target Labs sheet for the shortlist.</t>
  </si>
  <si>
    <t xml:space="preserve">Results</t>
  </si>
  <si>
    <t xml:space="preserve">MILESTONE: E3 results communicated by EPFL</t>
  </si>
  <si>
    <t xml:space="preserve">Confirm exact date on eee.epfl.ch — currently 'around mid-March 2027' per official FAQ.</t>
  </si>
  <si>
    <t xml:space="preserve">Legend:</t>
  </si>
  <si>
    <t xml:space="preserve">Shaded rows = milestones/deadlines (fixed dates, not flexible tasks)</t>
  </si>
  <si>
    <t xml:space="preserve">Progress summary:</t>
  </si>
  <si>
    <t xml:space="preserve">Tasks done</t>
  </si>
  <si>
    <t xml:space="preserve">Tasks in progress</t>
  </si>
  <si>
    <t xml:space="preserve">Tasks not started</t>
  </si>
  <si>
    <t xml:space="preserve">% complete</t>
  </si>
  <si>
    <t xml:space="preserve">Topic</t>
  </si>
  <si>
    <t xml:space="preserve">Needed For (Project Task)</t>
  </si>
  <si>
    <t xml:space="preserve">Study By Date</t>
  </si>
  <si>
    <t xml:space="preserve">Resource(s)</t>
  </si>
  <si>
    <t xml:space="preserve">Git &amp; GitHub fundamentals: init, add, commit, push, .gitignore, README, basic branching</t>
  </si>
  <si>
    <t xml:space="preserve">Task 1 (repo setup) — before writing any project code</t>
  </si>
  <si>
    <t xml:space="preserve">GitHub's official 'Hello World' guide (docs.github.com); Git Handbook / Pro Git book ch. 1–2 (free, git-scm.com/book)</t>
  </si>
  <si>
    <t xml:space="preserve">Python fundamentals for MATLAB users: syntax, NumPy arrays &amp; 0-based indexing, functions, control flow, list/dict basics</t>
  </si>
  <si>
    <t xml:space="preserve">Task 3 (environment setup) and everything after — first time using Python</t>
  </si>
  <si>
    <t xml:space="preserve">NumPy official 'NumPy for MATLAB users' guide (numpy.org); Python official tutorial ch. 3–4 (docs.python.org)</t>
  </si>
  <si>
    <t xml:space="preserve">Linear systems &amp; state-space representation (A, B matrices, controllability), matrix exponential, forced response (variation-of-constants formula)</t>
  </si>
  <si>
    <t xml:space="preserve">Task 7 (CW state-space formulation)</t>
  </si>
  <si>
    <t xml:space="preserve">Åström &amp; Murray, 'Feedback Systems': ch. 5 (linear systems: matrix exponential, convolution/forced response) and §6.1 (reachability); ch. 2–4 as background only. Verify numbering against your edition. Second source: Wie §2.5 (Modern State-Space Methods) and §1.3. Or your intro control course notes.</t>
  </si>
  <si>
    <t xml:space="preserve">Clohessy-Wiltshire equations: derivation, assumptions, forced response with control acceleration, ZOH discretization (A_d, B_d), impulsive vs. continuous thrust</t>
  </si>
  <si>
    <t xml:space="preserve">Tasks 7–8 (CW model + discretization); Task 6 (study)</t>
  </si>
  <si>
    <t xml:space="preserve">Curtis ch. 7 §7.4 (CW equations, state transition matrix Φ — homogeneous solution only, no control input); Wie §4.6 (Orbital Rendezvous) for CW. Wie §2.4 (ZOH) is Laplace-domain only — skip it. ZOH / sampling with input: Åström &amp; Wittenmark 'Computer-Controlled Systems' (sampling of continuous-time systems) or, preferred, Franklin, Powell &amp; Workman 'Digital Control of Dynamic Systems': §4.3.3 (state-space form of the ZOH discretization, Φ and Γ) and §4.3.5 (numerical computation of Φ and Γ). Their Φ, Γ = your A_d, B_d. Skip the z-transform sections. Practice: expm of augmented matrix [[A,B],[0,0]]·dt, check vs. closed-form Φ.</t>
  </si>
  <si>
    <t xml:space="preserve">State estimation &amp; noise modeling basics: process/measurement noise, discrete Kalman filter (implement the LTI case so the MPC acts on an estimated state)</t>
  </si>
  <si>
    <t xml:space="preserve">Task 10 (adding realistic navigation uncertainty)</t>
  </si>
  <si>
    <t xml:space="preserve">Simon, 'Optimal State Estimation', ch. 1–5 (or any intro Kalman filter tutorial, e.g. Welch &amp; Bishop's classic KF tutorial, UNC). Practice: write a 6-state KF on the CW model.</t>
  </si>
  <si>
    <t xml:space="preserve">Convex optimization fundamentals: convex sets/functions, QP structure, why convexity matters for solvers</t>
  </si>
  <si>
    <t xml:space="preserve">Task 14 (QP formulation for linear MPC)</t>
  </si>
  <si>
    <t xml:space="preserve">Boyd &amp; Vandenberghe, 'Convex Optimization', ch. 1–4 (free PDF); Stanford EE364a lecture videos</t>
  </si>
  <si>
    <t xml:space="preserve">MPC theory: receding horizon principle, cost function design, prediction matrices (condensed vs. sparse formulation), LQR / DARE for the terminal cost, terminal set, stability intro</t>
  </si>
  <si>
    <t xml:space="preserve">Tasks 14, 18–19 (Linear MPC formulation + implementation)</t>
  </si>
  <si>
    <t xml:space="preserve">Rawlings, Mayne &amp; Diehl, 'Model Predictive Control: Theory, Computation, and Design' (free PDF), ch. 1–2 (ch. 1 has the LQR/prediction-matrix material). Practice: scipy.linalg.solve_discrete_are for P; compare unconstrained MPC with LQR as a sanity check.</t>
  </si>
  <si>
    <t xml:space="preserve">Soft constraints &amp; recursive feasibility in MPC (slack variables, exact penalty functions)</t>
  </si>
  <si>
    <t xml:space="preserve">Task 16 (soft-constrained MPC)</t>
  </si>
  <si>
    <t xml:space="preserve">Rawlings/Mayne/Diehl ch. 2 (constraint handling) + ch. 3 intro; Kerrigan &amp; Maciejowski, 'Soft constraints and exact penalty functions in MPC' (paper, freely searchable). Study-by moved from 23 Oct to 21 Oct: Task 16 starts 21 Oct.</t>
  </si>
  <si>
    <t xml:space="preserve">CVXPY practical usage: problem setup, parameters vs. variables, solving MPC in a loop</t>
  </si>
  <si>
    <t xml:space="preserve">Task 18 (Linear MPC implementation)</t>
  </si>
  <si>
    <t xml:space="preserve">cvxpy.org official tutorial + examples gallery (MPC example specifically)</t>
  </si>
  <si>
    <t xml:space="preserve">Attitude kinematics &amp; dynamics: quaternions or MRPs, Euler's rotational equations of motion</t>
  </si>
  <si>
    <t xml:space="preserve">Task 27–28 (rotational dynamics formulation)</t>
  </si>
  <si>
    <t xml:space="preserve">Schaub &amp; Junkins, 'Analytical Mechanics of Space Systems', ch. 3–4; Wie ch. 5 (§5.4 quaternions, §5.5 kinematic differential equations) and ch. 6 (§6.4 Euler's rotational equations, §6.10 rigid body in a circular orbit).</t>
  </si>
  <si>
    <t xml:space="preserve">Linearization techniques for attitude models (small-angle, MRP linearization) for use inside a linear MPC</t>
  </si>
  <si>
    <t xml:space="preserve">Task 29 (linearized attitude state-space model)</t>
  </si>
  <si>
    <t xml:space="preserve">Schaub &amp; Junkins ch. 4; Wie ch. 5 (kinematics, for the linearization) and §7.3 (quaternion-feedback reorientation, as classical baseline vs. the MPC).</t>
  </si>
  <si>
    <t xml:space="preserve">Reaction wheel / RCS actuator constraints: torque/momentum saturation, allocation basics</t>
  </si>
  <si>
    <t xml:space="preserve">Task 31–32 (rotational MPC with actuator constraints)</t>
  </si>
  <si>
    <t xml:space="preserve">Wie, 'Space Vehicle Dynamics and Control': §7.4 (attitude control and momentum management: wheel torque/momentum saturation), §7.6 (optimal jet selection logic, for RCS allocation). §7.5 (CMG) not needed.</t>
  </si>
  <si>
    <t xml:space="preserve">Nonlinear programming for control: direct multiple shooting, collocation, SQP/interior-point basics</t>
  </si>
  <si>
    <t xml:space="preserve">Tasks 36, 39 (NMPC formulation)</t>
  </si>
  <si>
    <t xml:space="preserve">Diehl &amp; Gros, 'Numerical Optimal Control' (free PDF, syscop.de); Rawlings/Mayne/Diehl ch. 8</t>
  </si>
  <si>
    <t xml:space="preserve">CasADi practical usage: symbolic modeling, nlpsol, multiple-shooting implementation pattern</t>
  </si>
  <si>
    <t xml:space="preserve">Task 40 (NMPC implementation)</t>
  </si>
  <si>
    <t xml:space="preserve">casadi.org 'Getting started' + official example pack (rocket/robot MPC examples)</t>
  </si>
  <si>
    <t xml:space="preserve">Solver internals: QP solvers (OSQP, ECOS) vs. NLP solvers (IPOPT), warm-starting, why the choice matters</t>
  </si>
  <si>
    <t xml:space="preserve">Tasks 38, 40 — and a common interview question</t>
  </si>
  <si>
    <t xml:space="preserve">OSQP paper (Stellato et al., free); IPOPT documentation intro; CasADi docs section on solver plugins</t>
  </si>
  <si>
    <t xml:space="preserve">MPC stability &amp; recursive feasibility in depth (Lyapunov-based terminal ingredients) + invariant sets / terminal set computation</t>
  </si>
  <si>
    <t xml:space="preserve">Task 42 + Task 49 (interview talking points)</t>
  </si>
  <si>
    <t xml:space="preserve">Rawlings/Mayne/Diehl, ch. 2–3 (stability chapters) — read a first pass early (by mid-Nov) since interviews can start then; revisit before Task 42. Invariant sets: Blanchini &amp; Miani, 'Set-Theoretic Methods in Control' (recognize the vocabulary); MPT3 toolbox docs (mpt3.org) for intuition on invariant-set computation.</t>
  </si>
  <si>
    <t xml:space="preserve">Robust / tube MPC — conceptual overview (Prof. Jones' group works on this; recognize the vocabulary)</t>
  </si>
  <si>
    <t xml:space="preserve">Task 44 + interview talking points</t>
  </si>
  <si>
    <t xml:space="preserve">Rawlings/Mayne/Diehl ch. 3 (robust MPC section); skim 2–3 recent LA3 (Colin Jones) papers on epfl.ch/labs/la3. Study-by moved from 20 Nov to 15 Oct: the conceptual pass has to feed the motivation letter (Task 23, 1–15 Oct) and the 1 Nov submission. Refine in Phase 6.</t>
  </si>
  <si>
    <t xml:space="preserve">Scientific Python toolkit &amp; testing: matplotlib for report-quality plots, SciPy (linalg.expm, integrate.solve_ivp), pytest + numpy.testing.assert_allclose (tolerances), Jupyter workflow</t>
  </si>
  <si>
    <t xml:space="preserve">Tasks 3, 8, 9, 21 (first code + first tests in tests/)</t>
  </si>
  <si>
    <t xml:space="preserve">matplotlib official tutorials ('Quick start'); SciPy docs for scipy.linalg.expm and scipy.integrate.solve_ivp; pytest 'Get started' (docs.pytest.org); NumPy docs for numpy.testing.</t>
  </si>
  <si>
    <t xml:space="preserve">Technical documentation: LaTeX (or Markdown with math) for formulation docs, equation/figure conventions, README structure</t>
  </si>
  <si>
    <t xml:space="preserve">Tasks 7, 11, 14, 22, 35 (math write-ups before code)</t>
  </si>
  <si>
    <t xml:space="preserve">Overleaf 'Learn LaTeX in 30 minutes' + amsmath basics; or GitHub docs on math in Markdown. Half a day is enough.</t>
  </si>
  <si>
    <t xml:space="preserve">Nonlinear relative dynamics &amp; numerical propagation: inertial two-body propagation, inertial→LVLH transform of the relative state, effect of target eccentricity, J2 / differential drag as optional plant perturbations (plant vs. controller-model mismatch)</t>
  </si>
  <si>
    <t xml:space="preserve">Tasks 9, 11, 20 (nonlinear plant, CW-vs-nonlinear sweep, Monte Carlo mismatch)</t>
  </si>
  <si>
    <t xml:space="preserve">Curtis ch. 7 §7.2 (nonlinear relative motion equations); Wie §3.6 (orbital perturbations) or Vallado, 'Fundamentals of Astrodynamics and Applications' — only for the optional terms; SciPy solve_ivp docs (rtol/atol choice).</t>
  </si>
  <si>
    <t xml:space="preserve">Convex modeling of MPC constraints &amp; costs: second-order cone constraints, ‖u‖₂ ≤ u_max vs. box limits, L1/L2 fuel-cost norms vs. quadratic cost, approach cone / line-of-sight as SOC, convexifying the keep-out zone, slack penalties</t>
  </si>
  <si>
    <t xml:space="preserve">Tasks 14, 16 (constraint set of the QP/SOCP)</t>
  </si>
  <si>
    <t xml:space="preserve">Boyd &amp; Vandenberghe ch. 4 (§4.4: QP and SOCP); CVXPY docs, 'Disciplined Convex Programming' page; rendezvous-MPC papers collected in Task 4 (e.g. Hartley et al., 'Model predictive control system design and implementation for spacecraft rendezvous', Control Eng. Practice, 2012 — verify).</t>
  </si>
  <si>
    <t xml:space="preserve">Monte Carlo methodology: sampling initial conditions &amp; noise, seeded reproducibility (numpy.random.Generator), dispersion/percentile metrics, number of runs vs. confidence, reporting constraint-violation rates</t>
  </si>
  <si>
    <t xml:space="preserve">Tasks 20, 34, 41 (robustness studies)</t>
  </si>
  <si>
    <t xml:space="preserve">NumPy docs, 'Random Generator'; copy the dispersion-reporting conventions from the papers read in Task 4.</t>
  </si>
  <si>
    <t xml:space="preserve">6-DoF coupling kinematics: docking-port lever arm (r_dock = r_cm + R·b), velocity/acceleration of an offset point, torques from off-axis thrust, relative pose in LVLH, unit-quaternion norm handling in NMPC</t>
  </si>
  <si>
    <t xml:space="preserve">Task 39 (coupled 6-DoF model)</t>
  </si>
  <si>
    <t xml:space="preserve">Schaub &amp; Junkins ch. 3–4 (rigid-body kinematics, revisit); Wie ch. 5–6 (kinematics + rigid-body dynamics, §6.10 for the orbit coupling) and §7.4/§7.6 (actuators); Fehse, 'Automated Rendezvous and Docking of Spacecraft' (Cambridge, 2003); coupled 6-DoF MPC papers for proximity operations (collect in Task 37).</t>
  </si>
  <si>
    <t xml:space="preserve">OPTIONAL — Vision-based relative pose estimation: pinhole camera model, PnP / feature-based pose from a known 3D model, pose uncertainty</t>
  </si>
  <si>
    <t xml:space="preserve">Task 46 (optional stretch)</t>
  </si>
  <si>
    <t xml:space="preserve">Hartley &amp; Zisserman, 'Multiple View Geometry in Computer Vision', ch. 6 (camera models) — verify; OpenCV solvePnP tutorial (docs.opencv.org).</t>
  </si>
  <si>
    <t xml:space="preserve">OPTIONAL — Learning-based MPC: Gaussian-process regression, model-mismatch correction inside MPC, safety via constraint tightening</t>
  </si>
  <si>
    <t xml:space="preserve">Task 47 (optional stretch)</t>
  </si>
  <si>
    <t xml:space="preserve">Rasmussen &amp; Williams, 'Gaussian Processes for Machine Learning', ch. 2 (free PDF); Hewing et al., 'Learning-based model predictive control: toward safe learning in control', Annu. Rev. Control Robot. Auton. Syst., 2020 — verify.</t>
  </si>
  <si>
    <t xml:space="preserve">Topics done</t>
  </si>
  <si>
    <t xml:space="preserve">Topics in progress</t>
  </si>
  <si>
    <t xml:space="preserve">Topics not started</t>
  </si>
  <si>
    <t xml:space="preserve">Priority</t>
  </si>
  <si>
    <t xml:space="preserve">Professor</t>
  </si>
  <si>
    <t xml:space="preserve">Lab</t>
  </si>
  <si>
    <t xml:space="preserve">Research Areas (from EPFL listing)</t>
  </si>
  <si>
    <t xml:space="preserve">Why It Fits This Project</t>
  </si>
  <si>
    <t xml:space="preserve">Fit Level</t>
  </si>
  <si>
    <t xml:space="preserve">Colin Jones</t>
  </si>
  <si>
    <t xml:space="preserve">Automatic Control Laboratory 3 (LA3)</t>
  </si>
  <si>
    <t xml:space="preserve">Control Systems, Optimization, Robotics &amp; Autonomous Systems, Learning &amp; Decision Systems</t>
  </si>
  <si>
    <t xml:space="preserve">MPC is literally their core research output. Your CW→linear MPC→6-DoF NMPC roadmap is a direct, self-contained application case study of what this lab does daily.</t>
  </si>
  <si>
    <t xml:space="preserve">PRIMARY</t>
  </si>
  <si>
    <t xml:space="preserve">Maryam Kamgarpour</t>
  </si>
  <si>
    <t xml:space="preserve">Systems Control and Multiagent Optimization Research</t>
  </si>
  <si>
    <t xml:space="preserve">Learning &amp; Decision Systems, Robotics and Autonomous Systems</t>
  </si>
  <si>
    <t xml:space="preserve">Optimization-under-constraints is the exact spine of your QP/NMPC formulation work — strong second choice inside the same sub-field as Jones, not a dilution of your pitch.</t>
  </si>
  <si>
    <t xml:space="preserve">STRONG</t>
  </si>
  <si>
    <t xml:space="preserve">Alireza Karimi</t>
  </si>
  <si>
    <t xml:space="preserve">Data-Driven Modelling and Control Group</t>
  </si>
  <si>
    <t xml:space="preserve">Data &amp; Network Sciences, Energy Systems, Learning &amp; Decision Systems, Robotics, Theory and Simulation</t>
  </si>
  <si>
    <t xml:space="preserve">System identification + robust control. Your noise-robustness testing (Monte Carlo under navigation uncertainty) speaks directly to what this group cares about.</t>
  </si>
  <si>
    <t xml:space="preserve">Giancarlo Ferrari Trecate</t>
  </si>
  <si>
    <t xml:space="preserve">Dependable Control and Decision group (DECAR)</t>
  </si>
  <si>
    <t xml:space="preserve">Learning &amp; Decision Systems, Mechanical Engineering, Energy Systems</t>
  </si>
  <si>
    <t xml:space="preserve">Distributed/robust control theory overlaps with your feasibility and soft-constraint work. Note from earlier discussion: PI has an Italian academic background (Pavia/Polimi-adjacent), which may make your 110L and rigor easier to contextualize.</t>
  </si>
  <si>
    <t xml:space="preserve">Andrea Cavallaro</t>
  </si>
  <si>
    <t xml:space="preserve">LIDIAP</t>
  </si>
  <si>
    <t xml:space="preserve">Imaging &amp; Vision, Learning &amp; Decision Systems, Robotics and Autonomous Systems, Sports Technology</t>
  </si>
  <si>
    <t xml:space="preserve">Relevant only if you build the optional Phase 6 vision/pose-estimation stretch goal (Task 46) — that closes the 'Sense' half of the GNC loop for a non-cooperative target. Weaker fit if you stay purely on the control side.</t>
  </si>
  <si>
    <t xml:space="preserve">MODERATE</t>
  </si>
  <si>
    <t xml:space="preserve">Anja Skrivervik</t>
  </si>
  <si>
    <t xml:space="preserve">SCI STI AS Group</t>
  </si>
  <si>
    <t xml:space="preserve">Electrical Engineering, Flexible Electronics, Personalized Health, Robotics and Autonomous Systems, Space Technology</t>
  </si>
  <si>
    <t xml:space="preserve">Explicit Space Technology tag — useful if you want to keep the ADR framing front-and-center rather than pivoting the pitch fully toward generic autonomous systems. Verify current project focus before listing.</t>
  </si>
  <si>
    <t xml:space="preserve">Farhad Rachidi-Haeri</t>
  </si>
  <si>
    <t xml:space="preserve">SCI STI FR Group</t>
  </si>
  <si>
    <t xml:space="preserve">Electrical Engineering, Energy Systems, Space Technology</t>
  </si>
  <si>
    <t xml:space="preserve">Space Technology tag present, but the group's recent work may skew toward EM/energy rather than GNC — check the lab's current project list on epfl.ch before including as one of your 3 choices.</t>
  </si>
  <si>
    <t xml:space="preserve">MODERATE (verify first)</t>
  </si>
  <si>
    <t xml:space="preserve">Note on the E3 application form:</t>
  </si>
  <si>
    <t xml:space="preserve">The E3 form asks for up to 3 lab choices. Recommended combination given your project: 1) Colin Jones (LA3) — primary; 2) Kamgarpour or Karimi — same control/optimization core, not a dilution of the pitch; 3) Ferrari Trecate — still control theory, different flavor (distributed/robust). Keep all 3 inside control &amp; optimization rather than mixing in a vision or space-hardware lab, so the motivation letter tells one coherent story.</t>
  </si>
  <si>
    <t xml:space="preserve">Beyond E3 (separate processes, same project transfers directly):</t>
  </si>
  <si>
    <t xml:space="preserve">ETH Zürich Robotics Student Summer Fellowship — Robotic Systems Lab (Hutter) or Autonomous Systems Lab (Siegwart). Not part of E3; separate application process and deadline (check ethz.ch directly). Your 6-DoF MPC ADR project is an equally strong pitch there, since both labs value real-time optimization-based control on physical/simulated systems. If E3 doesn't work out, a direct email to a PhD student in either lab (proposing a Master Thesis) is also a standard, lower-barrier path in — worth keeping as a parallel option rather than waiting for E3 results in March.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</si>
</sst>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C1" colorId="64" zoomScale="101" zoomScaleNormal="101" zoomScalePageLayoutView="100" workbookViewId="0">
      <pane xSplit="0" ySplit="1" topLeftCell="A2" activePane="bottomLeft" state="frozen"/>
      <selection pane="topLeft" activeCell="C1" activeCellId="0" sqref="C1"/>
      <selection pane="bottomLeft" activeCell="C5" activeCellId="0" sqref="C5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52"/>
    <col collapsed="false" customWidth="true" hidden="false" outlineLevel="0" max="5" min="4" style="1" width="13"/>
    <col collapsed="false" customWidth="true" hidden="false" outlineLevel="0" max="6" min="6" style="1" width="10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40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4" hidden="false" customHeight="true" outlineLevel="0" collapsed="false">
      <c r="A2" s="3" t="n">
        <v>1</v>
      </c>
      <c r="B2" s="4" t="s">
        <v>9</v>
      </c>
      <c r="C2" s="5" t="s">
        <v>10</v>
      </c>
      <c r="D2" s="6" t="n">
        <v>46288</v>
      </c>
      <c r="E2" s="6" t="n">
        <v>46289</v>
      </c>
      <c r="F2" s="3" t="n">
        <f aca="false">E2-D2</f>
        <v>1</v>
      </c>
      <c r="G2" s="5" t="s">
        <v>11</v>
      </c>
      <c r="H2" s="3" t="s">
        <v>12</v>
      </c>
      <c r="I2" s="5" t="s">
        <v>13</v>
      </c>
    </row>
    <row r="3" customFormat="false" ht="24" hidden="false" customHeight="true" outlineLevel="0" collapsed="false">
      <c r="A3" s="3" t="n">
        <v>2</v>
      </c>
      <c r="B3" s="4" t="s">
        <v>9</v>
      </c>
      <c r="C3" s="5" t="s">
        <v>14</v>
      </c>
      <c r="D3" s="6" t="n">
        <v>46288</v>
      </c>
      <c r="E3" s="6" t="n">
        <v>46292</v>
      </c>
      <c r="F3" s="3" t="n">
        <f aca="false">E3-D3</f>
        <v>4</v>
      </c>
      <c r="G3" s="5" t="s">
        <v>15</v>
      </c>
      <c r="H3" s="3" t="s">
        <v>16</v>
      </c>
      <c r="I3" s="5" t="s">
        <v>17</v>
      </c>
    </row>
    <row r="4" customFormat="false" ht="36.75" hidden="false" customHeight="true" outlineLevel="0" collapsed="false">
      <c r="A4" s="3" t="n">
        <v>3</v>
      </c>
      <c r="B4" s="4" t="s">
        <v>9</v>
      </c>
      <c r="C4" s="5" t="s">
        <v>18</v>
      </c>
      <c r="D4" s="6" t="n">
        <v>46289</v>
      </c>
      <c r="E4" s="6" t="n">
        <v>46291</v>
      </c>
      <c r="F4" s="3" t="n">
        <f aca="false">E4-D4</f>
        <v>2</v>
      </c>
      <c r="G4" s="5" t="s">
        <v>19</v>
      </c>
      <c r="H4" s="3" t="s">
        <v>12</v>
      </c>
      <c r="I4" s="5"/>
    </row>
    <row r="5" customFormat="false" ht="24" hidden="false" customHeight="true" outlineLevel="0" collapsed="false">
      <c r="A5" s="3" t="n">
        <v>4</v>
      </c>
      <c r="B5" s="4" t="s">
        <v>9</v>
      </c>
      <c r="C5" s="5" t="s">
        <v>20</v>
      </c>
      <c r="D5" s="6" t="n">
        <v>46288</v>
      </c>
      <c r="E5" s="6" t="n">
        <v>46297</v>
      </c>
      <c r="F5" s="3" t="n">
        <f aca="false">E5-D5</f>
        <v>9</v>
      </c>
      <c r="G5" s="5" t="s">
        <v>21</v>
      </c>
      <c r="H5" s="3" t="s">
        <v>22</v>
      </c>
      <c r="I5" s="5" t="s">
        <v>23</v>
      </c>
    </row>
    <row r="6" customFormat="false" ht="14.25" hidden="false" customHeight="true" outlineLevel="0" collapsed="false">
      <c r="A6" s="3" t="n">
        <v>5</v>
      </c>
      <c r="B6" s="4" t="s">
        <v>9</v>
      </c>
      <c r="C6" s="5" t="s">
        <v>24</v>
      </c>
      <c r="D6" s="6" t="n">
        <v>46288</v>
      </c>
      <c r="E6" s="6" t="n">
        <v>46293</v>
      </c>
      <c r="F6" s="3" t="n">
        <f aca="false">E6-D6</f>
        <v>5</v>
      </c>
      <c r="G6" s="5" t="s">
        <v>25</v>
      </c>
      <c r="H6" s="3" t="s">
        <v>22</v>
      </c>
      <c r="I6" s="5"/>
    </row>
    <row r="7" customFormat="false" ht="23.25" hidden="false" customHeight="true" outlineLevel="0" collapsed="false">
      <c r="A7" s="3" t="n">
        <v>6</v>
      </c>
      <c r="B7" s="4" t="s">
        <v>9</v>
      </c>
      <c r="C7" s="5" t="s">
        <v>26</v>
      </c>
      <c r="D7" s="6" t="n">
        <v>46291</v>
      </c>
      <c r="E7" s="6" t="n">
        <v>46298</v>
      </c>
      <c r="F7" s="3" t="n">
        <f aca="false">E7-D7</f>
        <v>7</v>
      </c>
      <c r="G7" s="5" t="s">
        <v>27</v>
      </c>
      <c r="H7" s="3" t="s">
        <v>22</v>
      </c>
      <c r="I7" s="5"/>
    </row>
    <row r="8" customFormat="false" ht="24" hidden="false" customHeight="true" outlineLevel="0" collapsed="false">
      <c r="A8" s="3" t="n">
        <v>7</v>
      </c>
      <c r="B8" s="4" t="s">
        <v>28</v>
      </c>
      <c r="C8" s="5" t="s">
        <v>29</v>
      </c>
      <c r="D8" s="6" t="n">
        <v>46294</v>
      </c>
      <c r="E8" s="6" t="n">
        <v>46298</v>
      </c>
      <c r="F8" s="3" t="n">
        <f aca="false">E8-D8</f>
        <v>4</v>
      </c>
      <c r="G8" s="5" t="s">
        <v>11</v>
      </c>
      <c r="H8" s="3" t="s">
        <v>22</v>
      </c>
      <c r="I8" s="5" t="s">
        <v>30</v>
      </c>
    </row>
    <row r="9" customFormat="false" ht="14.25" hidden="false" customHeight="true" outlineLevel="0" collapsed="false">
      <c r="A9" s="3" t="n">
        <v>8</v>
      </c>
      <c r="B9" s="4" t="s">
        <v>28</v>
      </c>
      <c r="C9" s="5" t="s">
        <v>31</v>
      </c>
      <c r="D9" s="6" t="n">
        <v>46298</v>
      </c>
      <c r="E9" s="6" t="n">
        <v>46301</v>
      </c>
      <c r="F9" s="3" t="n">
        <f aca="false">E9-D9</f>
        <v>3</v>
      </c>
      <c r="G9" s="5" t="s">
        <v>11</v>
      </c>
      <c r="H9" s="3" t="s">
        <v>22</v>
      </c>
      <c r="I9" s="5"/>
    </row>
    <row r="10" customFormat="false" ht="24" hidden="false" customHeight="true" outlineLevel="0" collapsed="false">
      <c r="A10" s="3" t="n">
        <v>9</v>
      </c>
      <c r="B10" s="4" t="s">
        <v>28</v>
      </c>
      <c r="C10" s="5" t="s">
        <v>32</v>
      </c>
      <c r="D10" s="6" t="n">
        <v>46301</v>
      </c>
      <c r="E10" s="6" t="n">
        <v>46303</v>
      </c>
      <c r="F10" s="3" t="n">
        <f aca="false">E10-D10</f>
        <v>2</v>
      </c>
      <c r="G10" s="5" t="s">
        <v>11</v>
      </c>
      <c r="H10" s="3" t="s">
        <v>22</v>
      </c>
      <c r="I10" s="5" t="s">
        <v>33</v>
      </c>
    </row>
    <row r="11" customFormat="false" ht="24" hidden="false" customHeight="true" outlineLevel="0" collapsed="false">
      <c r="A11" s="3" t="n">
        <v>10</v>
      </c>
      <c r="B11" s="4" t="s">
        <v>28</v>
      </c>
      <c r="C11" s="5" t="s">
        <v>34</v>
      </c>
      <c r="D11" s="6" t="n">
        <v>46301</v>
      </c>
      <c r="E11" s="6" t="n">
        <v>46304</v>
      </c>
      <c r="F11" s="3" t="n">
        <f aca="false">E11-D11</f>
        <v>3</v>
      </c>
      <c r="G11" s="5" t="s">
        <v>35</v>
      </c>
      <c r="H11" s="3" t="s">
        <v>22</v>
      </c>
      <c r="I11" s="5" t="s">
        <v>36</v>
      </c>
    </row>
    <row r="12" customFormat="false" ht="24" hidden="false" customHeight="true" outlineLevel="0" collapsed="false">
      <c r="A12" s="3" t="n">
        <v>11</v>
      </c>
      <c r="B12" s="4" t="s">
        <v>28</v>
      </c>
      <c r="C12" s="5" t="s">
        <v>37</v>
      </c>
      <c r="D12" s="6" t="n">
        <v>46303</v>
      </c>
      <c r="E12" s="6" t="n">
        <v>46306</v>
      </c>
      <c r="F12" s="3" t="n">
        <f aca="false">E12-D12</f>
        <v>3</v>
      </c>
      <c r="G12" s="5" t="s">
        <v>38</v>
      </c>
      <c r="H12" s="3" t="s">
        <v>22</v>
      </c>
      <c r="I12" s="5" t="s">
        <v>39</v>
      </c>
    </row>
    <row r="13" customFormat="false" ht="14.25" hidden="false" customHeight="true" outlineLevel="0" collapsed="false">
      <c r="A13" s="3" t="n">
        <v>12</v>
      </c>
      <c r="B13" s="4" t="s">
        <v>40</v>
      </c>
      <c r="C13" s="5" t="s">
        <v>41</v>
      </c>
      <c r="D13" s="6" t="n">
        <v>46304</v>
      </c>
      <c r="E13" s="6" t="n">
        <v>46308</v>
      </c>
      <c r="F13" s="3" t="n">
        <f aca="false">E13-D13</f>
        <v>4</v>
      </c>
      <c r="G13" s="5" t="s">
        <v>42</v>
      </c>
      <c r="H13" s="3" t="s">
        <v>22</v>
      </c>
      <c r="I13" s="5"/>
    </row>
    <row r="14" customFormat="false" ht="24" hidden="false" customHeight="true" outlineLevel="0" collapsed="false">
      <c r="A14" s="3" t="n">
        <v>13</v>
      </c>
      <c r="B14" s="4" t="s">
        <v>40</v>
      </c>
      <c r="C14" s="5" t="s">
        <v>43</v>
      </c>
      <c r="D14" s="6" t="n">
        <v>46307</v>
      </c>
      <c r="E14" s="6" t="n">
        <v>46313</v>
      </c>
      <c r="F14" s="3" t="n">
        <f aca="false">E14-D14</f>
        <v>6</v>
      </c>
      <c r="G14" s="5" t="s">
        <v>11</v>
      </c>
      <c r="H14" s="3" t="s">
        <v>22</v>
      </c>
      <c r="I14" s="5"/>
    </row>
    <row r="15" customFormat="false" ht="24" hidden="false" customHeight="true" outlineLevel="0" collapsed="false">
      <c r="A15" s="3" t="n">
        <v>14</v>
      </c>
      <c r="B15" s="4" t="s">
        <v>40</v>
      </c>
      <c r="C15" s="5" t="s">
        <v>44</v>
      </c>
      <c r="D15" s="6" t="n">
        <v>46313</v>
      </c>
      <c r="E15" s="6" t="n">
        <v>46316</v>
      </c>
      <c r="F15" s="3" t="n">
        <f aca="false">E15-D15</f>
        <v>3</v>
      </c>
      <c r="G15" s="5" t="s">
        <v>11</v>
      </c>
      <c r="H15" s="3" t="s">
        <v>22</v>
      </c>
      <c r="I15" s="5" t="s">
        <v>45</v>
      </c>
    </row>
    <row r="16" customFormat="false" ht="14.25" hidden="false" customHeight="true" outlineLevel="0" collapsed="false">
      <c r="A16" s="3" t="n">
        <v>15</v>
      </c>
      <c r="B16" s="4" t="s">
        <v>40</v>
      </c>
      <c r="C16" s="5" t="s">
        <v>46</v>
      </c>
      <c r="D16" s="6" t="n">
        <v>46313</v>
      </c>
      <c r="E16" s="6" t="n">
        <v>46318</v>
      </c>
      <c r="F16" s="3" t="n">
        <f aca="false">E16-D16</f>
        <v>5</v>
      </c>
      <c r="G16" s="5" t="s">
        <v>47</v>
      </c>
      <c r="H16" s="3" t="s">
        <v>22</v>
      </c>
      <c r="I16" s="5"/>
    </row>
    <row r="17" customFormat="false" ht="24" hidden="false" customHeight="true" outlineLevel="0" collapsed="false">
      <c r="A17" s="3" t="n">
        <v>16</v>
      </c>
      <c r="B17" s="4" t="s">
        <v>40</v>
      </c>
      <c r="C17" s="5" t="s">
        <v>48</v>
      </c>
      <c r="D17" s="6" t="n">
        <v>46316</v>
      </c>
      <c r="E17" s="6" t="n">
        <v>46318</v>
      </c>
      <c r="F17" s="3" t="n">
        <f aca="false">E17-D17</f>
        <v>2</v>
      </c>
      <c r="G17" s="5" t="s">
        <v>11</v>
      </c>
      <c r="H17" s="3" t="s">
        <v>22</v>
      </c>
      <c r="I17" s="5" t="s">
        <v>49</v>
      </c>
    </row>
    <row r="18" customFormat="false" ht="14.25" hidden="false" customHeight="true" outlineLevel="0" collapsed="false">
      <c r="A18" s="3" t="n">
        <v>17</v>
      </c>
      <c r="B18" s="4" t="s">
        <v>40</v>
      </c>
      <c r="C18" s="5" t="s">
        <v>50</v>
      </c>
      <c r="D18" s="6" t="n">
        <v>46316</v>
      </c>
      <c r="E18" s="6" t="n">
        <v>46318</v>
      </c>
      <c r="F18" s="3" t="n">
        <f aca="false">E18-D18</f>
        <v>2</v>
      </c>
      <c r="G18" s="5" t="s">
        <v>51</v>
      </c>
      <c r="H18" s="3" t="s">
        <v>22</v>
      </c>
      <c r="I18" s="5"/>
    </row>
    <row r="19" customFormat="false" ht="14.25" hidden="false" customHeight="true" outlineLevel="0" collapsed="false">
      <c r="A19" s="3" t="n">
        <v>18</v>
      </c>
      <c r="B19" s="4" t="s">
        <v>40</v>
      </c>
      <c r="C19" s="5" t="s">
        <v>52</v>
      </c>
      <c r="D19" s="6" t="n">
        <v>46318</v>
      </c>
      <c r="E19" s="6" t="n">
        <v>46321</v>
      </c>
      <c r="F19" s="3" t="n">
        <f aca="false">E19-D19</f>
        <v>3</v>
      </c>
      <c r="G19" s="5" t="s">
        <v>11</v>
      </c>
      <c r="H19" s="3" t="s">
        <v>22</v>
      </c>
      <c r="I19" s="5"/>
    </row>
    <row r="20" customFormat="false" ht="24" hidden="false" customHeight="true" outlineLevel="0" collapsed="false">
      <c r="A20" s="3" t="n">
        <v>19</v>
      </c>
      <c r="B20" s="4" t="s">
        <v>40</v>
      </c>
      <c r="C20" s="5" t="s">
        <v>53</v>
      </c>
      <c r="D20" s="6" t="n">
        <v>46321</v>
      </c>
      <c r="E20" s="6" t="n">
        <v>46323</v>
      </c>
      <c r="F20" s="3" t="n">
        <f aca="false">E20-D20</f>
        <v>2</v>
      </c>
      <c r="G20" s="5" t="s">
        <v>11</v>
      </c>
      <c r="H20" s="3" t="s">
        <v>22</v>
      </c>
      <c r="I20" s="5" t="s">
        <v>54</v>
      </c>
    </row>
    <row r="21" customFormat="false" ht="24" hidden="false" customHeight="true" outlineLevel="0" collapsed="false">
      <c r="A21" s="3" t="n">
        <v>20</v>
      </c>
      <c r="B21" s="4" t="s">
        <v>40</v>
      </c>
      <c r="C21" s="5" t="s">
        <v>55</v>
      </c>
      <c r="D21" s="6" t="n">
        <v>46323</v>
      </c>
      <c r="E21" s="6" t="n">
        <v>46325</v>
      </c>
      <c r="F21" s="3" t="n">
        <f aca="false">E21-D21</f>
        <v>2</v>
      </c>
      <c r="G21" s="5" t="s">
        <v>11</v>
      </c>
      <c r="H21" s="3" t="s">
        <v>22</v>
      </c>
      <c r="I21" s="5" t="s">
        <v>56</v>
      </c>
    </row>
    <row r="22" customFormat="false" ht="24" hidden="false" customHeight="true" outlineLevel="0" collapsed="false">
      <c r="A22" s="3" t="n">
        <v>21</v>
      </c>
      <c r="B22" s="4" t="s">
        <v>40</v>
      </c>
      <c r="C22" s="5" t="s">
        <v>57</v>
      </c>
      <c r="D22" s="6" t="n">
        <v>46325</v>
      </c>
      <c r="E22" s="6" t="n">
        <v>46326</v>
      </c>
      <c r="F22" s="3" t="n">
        <f aca="false">E22-D22</f>
        <v>1</v>
      </c>
      <c r="G22" s="5" t="s">
        <v>58</v>
      </c>
      <c r="H22" s="3" t="s">
        <v>22</v>
      </c>
      <c r="I22" s="5"/>
    </row>
    <row r="23" customFormat="false" ht="24" hidden="false" customHeight="true" outlineLevel="0" collapsed="false">
      <c r="A23" s="3" t="n">
        <v>22</v>
      </c>
      <c r="B23" s="4" t="s">
        <v>40</v>
      </c>
      <c r="C23" s="5" t="s">
        <v>59</v>
      </c>
      <c r="D23" s="6" t="n">
        <v>46325</v>
      </c>
      <c r="E23" s="6" t="n">
        <v>46327</v>
      </c>
      <c r="F23" s="3" t="n">
        <f aca="false">E23-D23</f>
        <v>2</v>
      </c>
      <c r="G23" s="5" t="s">
        <v>60</v>
      </c>
      <c r="H23" s="3" t="s">
        <v>22</v>
      </c>
      <c r="I23" s="5" t="s">
        <v>61</v>
      </c>
    </row>
    <row r="24" customFormat="false" ht="24" hidden="false" customHeight="true" outlineLevel="0" collapsed="false">
      <c r="A24" s="3" t="n">
        <v>23</v>
      </c>
      <c r="B24" s="4" t="s">
        <v>62</v>
      </c>
      <c r="C24" s="5" t="s">
        <v>63</v>
      </c>
      <c r="D24" s="6" t="n">
        <v>46296</v>
      </c>
      <c r="E24" s="6" t="n">
        <v>46310</v>
      </c>
      <c r="F24" s="3" t="n">
        <f aca="false">E24-D24</f>
        <v>14</v>
      </c>
      <c r="G24" s="5" t="s">
        <v>64</v>
      </c>
      <c r="H24" s="3" t="s">
        <v>22</v>
      </c>
      <c r="I24" s="5"/>
    </row>
    <row r="25" customFormat="false" ht="23.25" hidden="false" customHeight="true" outlineLevel="0" collapsed="false">
      <c r="A25" s="3" t="n">
        <v>24</v>
      </c>
      <c r="B25" s="4" t="s">
        <v>62</v>
      </c>
      <c r="C25" s="5" t="s">
        <v>65</v>
      </c>
      <c r="D25" s="6" t="n">
        <v>46311</v>
      </c>
      <c r="E25" s="6" t="n">
        <v>46323</v>
      </c>
      <c r="F25" s="3" t="n">
        <f aca="false">E25-D25</f>
        <v>12</v>
      </c>
      <c r="G25" s="5" t="s">
        <v>66</v>
      </c>
      <c r="H25" s="3" t="s">
        <v>22</v>
      </c>
      <c r="I25" s="5"/>
    </row>
    <row r="26" customFormat="false" ht="24" hidden="false" customHeight="true" outlineLevel="0" collapsed="false">
      <c r="A26" s="7" t="n">
        <v>25</v>
      </c>
      <c r="B26" s="8" t="s">
        <v>62</v>
      </c>
      <c r="C26" s="9" t="s">
        <v>67</v>
      </c>
      <c r="D26" s="10" t="n">
        <v>46327</v>
      </c>
      <c r="E26" s="10" t="n">
        <v>46327</v>
      </c>
      <c r="F26" s="7" t="n">
        <f aca="false">E26-D26</f>
        <v>0</v>
      </c>
      <c r="G26" s="9" t="s">
        <v>68</v>
      </c>
      <c r="H26" s="7" t="s">
        <v>22</v>
      </c>
      <c r="I26" s="9" t="s">
        <v>69</v>
      </c>
    </row>
    <row r="27" customFormat="false" ht="36.75" hidden="false" customHeight="true" outlineLevel="0" collapsed="false">
      <c r="A27" s="3" t="n">
        <v>26</v>
      </c>
      <c r="B27" s="4" t="s">
        <v>62</v>
      </c>
      <c r="C27" s="5" t="s">
        <v>70</v>
      </c>
      <c r="D27" s="6" t="n">
        <v>46327</v>
      </c>
      <c r="E27" s="6" t="n">
        <v>46447</v>
      </c>
      <c r="F27" s="3" t="n">
        <f aca="false">E27-D27</f>
        <v>120</v>
      </c>
      <c r="G27" s="5" t="s">
        <v>71</v>
      </c>
      <c r="H27" s="3" t="s">
        <v>22</v>
      </c>
      <c r="I27" s="5" t="s">
        <v>72</v>
      </c>
    </row>
    <row r="28" customFormat="false" ht="24" hidden="false" customHeight="true" outlineLevel="0" collapsed="false">
      <c r="A28" s="3" t="n">
        <v>27</v>
      </c>
      <c r="B28" s="4" t="s">
        <v>73</v>
      </c>
      <c r="C28" s="5" t="s">
        <v>74</v>
      </c>
      <c r="D28" s="6" t="n">
        <v>46327</v>
      </c>
      <c r="E28" s="6" t="n">
        <v>46334</v>
      </c>
      <c r="F28" s="3" t="n">
        <f aca="false">E28-D28</f>
        <v>7</v>
      </c>
      <c r="G28" s="5" t="s">
        <v>11</v>
      </c>
      <c r="H28" s="3" t="s">
        <v>22</v>
      </c>
      <c r="I28" s="5"/>
    </row>
    <row r="29" customFormat="false" ht="14.25" hidden="false" customHeight="true" outlineLevel="0" collapsed="false">
      <c r="A29" s="3" t="n">
        <v>28</v>
      </c>
      <c r="B29" s="4" t="s">
        <v>73</v>
      </c>
      <c r="C29" s="5" t="s">
        <v>75</v>
      </c>
      <c r="D29" s="6" t="n">
        <v>46334</v>
      </c>
      <c r="E29" s="6" t="n">
        <v>46338</v>
      </c>
      <c r="F29" s="3" t="n">
        <f aca="false">E29-D29</f>
        <v>4</v>
      </c>
      <c r="G29" s="5" t="s">
        <v>11</v>
      </c>
      <c r="H29" s="3" t="s">
        <v>22</v>
      </c>
      <c r="I29" s="5"/>
    </row>
    <row r="30" customFormat="false" ht="14.25" hidden="false" customHeight="true" outlineLevel="0" collapsed="false">
      <c r="A30" s="3" t="n">
        <v>29</v>
      </c>
      <c r="B30" s="4" t="s">
        <v>73</v>
      </c>
      <c r="C30" s="5" t="s">
        <v>76</v>
      </c>
      <c r="D30" s="6" t="n">
        <v>46336</v>
      </c>
      <c r="E30" s="6" t="n">
        <v>46339</v>
      </c>
      <c r="F30" s="3" t="n">
        <f aca="false">E30-D30</f>
        <v>3</v>
      </c>
      <c r="G30" s="5" t="s">
        <v>77</v>
      </c>
      <c r="H30" s="3" t="s">
        <v>22</v>
      </c>
      <c r="I30" s="5"/>
    </row>
    <row r="31" customFormat="false" ht="14.25" hidden="false" customHeight="true" outlineLevel="0" collapsed="false">
      <c r="A31" s="3" t="n">
        <v>30</v>
      </c>
      <c r="B31" s="4" t="s">
        <v>73</v>
      </c>
      <c r="C31" s="5" t="s">
        <v>78</v>
      </c>
      <c r="D31" s="6" t="n">
        <v>46339</v>
      </c>
      <c r="E31" s="6" t="n">
        <v>46340</v>
      </c>
      <c r="F31" s="3" t="n">
        <f aca="false">E31-D31</f>
        <v>1</v>
      </c>
      <c r="G31" s="5" t="s">
        <v>11</v>
      </c>
      <c r="H31" s="3" t="s">
        <v>22</v>
      </c>
      <c r="I31" s="5"/>
    </row>
    <row r="32" customFormat="false" ht="24" hidden="false" customHeight="true" outlineLevel="0" collapsed="false">
      <c r="A32" s="3" t="n">
        <v>31</v>
      </c>
      <c r="B32" s="4" t="s">
        <v>79</v>
      </c>
      <c r="C32" s="5" t="s">
        <v>80</v>
      </c>
      <c r="D32" s="6" t="n">
        <v>46340</v>
      </c>
      <c r="E32" s="6" t="n">
        <v>46346</v>
      </c>
      <c r="F32" s="3" t="n">
        <f aca="false">E32-D32</f>
        <v>6</v>
      </c>
      <c r="G32" s="5" t="s">
        <v>11</v>
      </c>
      <c r="H32" s="3" t="s">
        <v>22</v>
      </c>
      <c r="I32" s="5"/>
    </row>
    <row r="33" customFormat="false" ht="24" hidden="false" customHeight="true" outlineLevel="0" collapsed="false">
      <c r="A33" s="3" t="n">
        <v>32</v>
      </c>
      <c r="B33" s="4" t="s">
        <v>79</v>
      </c>
      <c r="C33" s="5" t="s">
        <v>81</v>
      </c>
      <c r="D33" s="6" t="n">
        <v>46346</v>
      </c>
      <c r="E33" s="6" t="n">
        <v>46350</v>
      </c>
      <c r="F33" s="3" t="n">
        <f aca="false">E33-D33</f>
        <v>4</v>
      </c>
      <c r="G33" s="5" t="s">
        <v>11</v>
      </c>
      <c r="H33" s="3" t="s">
        <v>22</v>
      </c>
      <c r="I33" s="5"/>
    </row>
    <row r="34" customFormat="false" ht="14.25" hidden="false" customHeight="true" outlineLevel="0" collapsed="false">
      <c r="A34" s="3" t="n">
        <v>33</v>
      </c>
      <c r="B34" s="4" t="s">
        <v>79</v>
      </c>
      <c r="C34" s="5" t="s">
        <v>82</v>
      </c>
      <c r="D34" s="6" t="n">
        <v>46350</v>
      </c>
      <c r="E34" s="6" t="n">
        <v>46354</v>
      </c>
      <c r="F34" s="3" t="n">
        <f aca="false">E34-D34</f>
        <v>4</v>
      </c>
      <c r="G34" s="5" t="s">
        <v>11</v>
      </c>
      <c r="H34" s="3" t="s">
        <v>22</v>
      </c>
      <c r="I34" s="5"/>
    </row>
    <row r="35" customFormat="false" ht="14.25" hidden="false" customHeight="true" outlineLevel="0" collapsed="false">
      <c r="A35" s="3" t="n">
        <v>34</v>
      </c>
      <c r="B35" s="4" t="s">
        <v>79</v>
      </c>
      <c r="C35" s="5" t="s">
        <v>83</v>
      </c>
      <c r="D35" s="6" t="n">
        <v>46354</v>
      </c>
      <c r="E35" s="6" t="n">
        <v>46357</v>
      </c>
      <c r="F35" s="3" t="n">
        <f aca="false">E35-D35</f>
        <v>3</v>
      </c>
      <c r="G35" s="5" t="s">
        <v>11</v>
      </c>
      <c r="H35" s="3" t="s">
        <v>22</v>
      </c>
      <c r="I35" s="5"/>
    </row>
    <row r="36" customFormat="false" ht="24" hidden="false" customHeight="true" outlineLevel="0" collapsed="false">
      <c r="A36" s="7" t="n">
        <v>35</v>
      </c>
      <c r="B36" s="8" t="s">
        <v>79</v>
      </c>
      <c r="C36" s="9" t="s">
        <v>84</v>
      </c>
      <c r="D36" s="10" t="n">
        <v>46357</v>
      </c>
      <c r="E36" s="10" t="n">
        <v>46360</v>
      </c>
      <c r="F36" s="7" t="n">
        <f aca="false">E36-D36</f>
        <v>3</v>
      </c>
      <c r="G36" s="9" t="s">
        <v>11</v>
      </c>
      <c r="H36" s="7" t="s">
        <v>22</v>
      </c>
      <c r="I36" s="9" t="s">
        <v>85</v>
      </c>
    </row>
    <row r="37" customFormat="false" ht="24" hidden="false" customHeight="true" outlineLevel="0" collapsed="false">
      <c r="A37" s="3" t="n">
        <v>36</v>
      </c>
      <c r="B37" s="4" t="s">
        <v>86</v>
      </c>
      <c r="C37" s="5" t="s">
        <v>87</v>
      </c>
      <c r="D37" s="6" t="n">
        <v>46360</v>
      </c>
      <c r="E37" s="6" t="n">
        <v>46371</v>
      </c>
      <c r="F37" s="3" t="n">
        <f aca="false">E37-D37</f>
        <v>11</v>
      </c>
      <c r="G37" s="5" t="s">
        <v>11</v>
      </c>
      <c r="H37" s="3" t="s">
        <v>22</v>
      </c>
      <c r="I37" s="5"/>
    </row>
    <row r="38" customFormat="false" ht="14.25" hidden="false" customHeight="true" outlineLevel="0" collapsed="false">
      <c r="A38" s="3" t="n">
        <v>37</v>
      </c>
      <c r="B38" s="4" t="s">
        <v>86</v>
      </c>
      <c r="C38" s="5" t="s">
        <v>88</v>
      </c>
      <c r="D38" s="6" t="n">
        <v>46366</v>
      </c>
      <c r="E38" s="6" t="n">
        <v>46376</v>
      </c>
      <c r="F38" s="3" t="n">
        <f aca="false">E38-D38</f>
        <v>10</v>
      </c>
      <c r="G38" s="5" t="s">
        <v>89</v>
      </c>
      <c r="H38" s="3" t="s">
        <v>22</v>
      </c>
      <c r="I38" s="5"/>
    </row>
    <row r="39" customFormat="false" ht="24" hidden="false" customHeight="true" outlineLevel="0" collapsed="false">
      <c r="A39" s="3" t="n">
        <v>38</v>
      </c>
      <c r="B39" s="4" t="s">
        <v>86</v>
      </c>
      <c r="C39" s="5" t="s">
        <v>90</v>
      </c>
      <c r="D39" s="6" t="n">
        <v>46371</v>
      </c>
      <c r="E39" s="6" t="n">
        <v>46392</v>
      </c>
      <c r="F39" s="3" t="n">
        <f aca="false">E39-D39</f>
        <v>21</v>
      </c>
      <c r="G39" s="5" t="s">
        <v>91</v>
      </c>
      <c r="H39" s="3" t="s">
        <v>22</v>
      </c>
      <c r="I39" s="5"/>
    </row>
    <row r="40" customFormat="false" ht="24" hidden="false" customHeight="true" outlineLevel="0" collapsed="false">
      <c r="A40" s="3" t="n">
        <v>39</v>
      </c>
      <c r="B40" s="4" t="s">
        <v>86</v>
      </c>
      <c r="C40" s="5" t="s">
        <v>92</v>
      </c>
      <c r="D40" s="6" t="n">
        <v>46392</v>
      </c>
      <c r="E40" s="6" t="n">
        <v>46402</v>
      </c>
      <c r="F40" s="3" t="n">
        <f aca="false">E40-D40</f>
        <v>10</v>
      </c>
      <c r="G40" s="5" t="s">
        <v>11</v>
      </c>
      <c r="H40" s="3" t="s">
        <v>22</v>
      </c>
      <c r="I40" s="5" t="s">
        <v>93</v>
      </c>
    </row>
    <row r="41" customFormat="false" ht="24" hidden="false" customHeight="true" outlineLevel="0" collapsed="false">
      <c r="A41" s="3" t="n">
        <v>40</v>
      </c>
      <c r="B41" s="4" t="s">
        <v>86</v>
      </c>
      <c r="C41" s="5" t="s">
        <v>94</v>
      </c>
      <c r="D41" s="6" t="n">
        <v>46402</v>
      </c>
      <c r="E41" s="6" t="n">
        <v>46419</v>
      </c>
      <c r="F41" s="3" t="n">
        <f aca="false">E41-D41</f>
        <v>17</v>
      </c>
      <c r="G41" s="5" t="s">
        <v>11</v>
      </c>
      <c r="H41" s="3" t="s">
        <v>22</v>
      </c>
      <c r="I41" s="5" t="s">
        <v>95</v>
      </c>
    </row>
    <row r="42" customFormat="false" ht="24" hidden="false" customHeight="true" outlineLevel="0" collapsed="false">
      <c r="A42" s="3" t="n">
        <v>41</v>
      </c>
      <c r="B42" s="4" t="s">
        <v>86</v>
      </c>
      <c r="C42" s="5" t="s">
        <v>96</v>
      </c>
      <c r="D42" s="6" t="n">
        <v>46419</v>
      </c>
      <c r="E42" s="6" t="n">
        <v>46430</v>
      </c>
      <c r="F42" s="3" t="n">
        <f aca="false">E42-D42</f>
        <v>11</v>
      </c>
      <c r="G42" s="5" t="s">
        <v>11</v>
      </c>
      <c r="H42" s="3" t="s">
        <v>22</v>
      </c>
      <c r="I42" s="5"/>
    </row>
    <row r="43" customFormat="false" ht="24" hidden="false" customHeight="true" outlineLevel="0" collapsed="false">
      <c r="A43" s="3" t="n">
        <v>42</v>
      </c>
      <c r="B43" s="4" t="s">
        <v>86</v>
      </c>
      <c r="C43" s="5" t="s">
        <v>97</v>
      </c>
      <c r="D43" s="6" t="n">
        <v>46428</v>
      </c>
      <c r="E43" s="6" t="n">
        <v>46436</v>
      </c>
      <c r="F43" s="3" t="n">
        <f aca="false">E43-D43</f>
        <v>8</v>
      </c>
      <c r="G43" s="5" t="s">
        <v>98</v>
      </c>
      <c r="H43" s="3" t="s">
        <v>22</v>
      </c>
      <c r="I43" s="5" t="s">
        <v>99</v>
      </c>
    </row>
    <row r="44" customFormat="false" ht="24" hidden="false" customHeight="true" outlineLevel="0" collapsed="false">
      <c r="A44" s="7" t="n">
        <v>43</v>
      </c>
      <c r="B44" s="8" t="s">
        <v>86</v>
      </c>
      <c r="C44" s="9" t="s">
        <v>100</v>
      </c>
      <c r="D44" s="10" t="n">
        <v>46436</v>
      </c>
      <c r="E44" s="10" t="n">
        <v>46443</v>
      </c>
      <c r="F44" s="7" t="n">
        <f aca="false">E44-D44</f>
        <v>7</v>
      </c>
      <c r="G44" s="9" t="s">
        <v>101</v>
      </c>
      <c r="H44" s="7" t="s">
        <v>22</v>
      </c>
      <c r="I44" s="9" t="s">
        <v>102</v>
      </c>
    </row>
    <row r="45" customFormat="false" ht="24" hidden="false" customHeight="true" outlineLevel="0" collapsed="false">
      <c r="A45" s="3" t="n">
        <v>44</v>
      </c>
      <c r="B45" s="4" t="s">
        <v>103</v>
      </c>
      <c r="C45" s="5" t="s">
        <v>104</v>
      </c>
      <c r="D45" s="6" t="n">
        <v>46443</v>
      </c>
      <c r="E45" s="6" t="n">
        <v>46456</v>
      </c>
      <c r="F45" s="3" t="n">
        <f aca="false">E45-D45</f>
        <v>13</v>
      </c>
      <c r="G45" s="5" t="s">
        <v>11</v>
      </c>
      <c r="H45" s="3" t="s">
        <v>22</v>
      </c>
      <c r="I45" s="5"/>
    </row>
    <row r="46" customFormat="false" ht="24" hidden="false" customHeight="true" outlineLevel="0" collapsed="false">
      <c r="A46" s="3" t="n">
        <v>45</v>
      </c>
      <c r="B46" s="4" t="s">
        <v>103</v>
      </c>
      <c r="C46" s="5" t="s">
        <v>105</v>
      </c>
      <c r="D46" s="6" t="n">
        <v>46456</v>
      </c>
      <c r="E46" s="6" t="n">
        <v>46470</v>
      </c>
      <c r="F46" s="3" t="n">
        <f aca="false">E46-D46</f>
        <v>14</v>
      </c>
      <c r="G46" s="5" t="s">
        <v>11</v>
      </c>
      <c r="H46" s="3" t="s">
        <v>22</v>
      </c>
      <c r="I46" s="5" t="s">
        <v>106</v>
      </c>
    </row>
    <row r="47" customFormat="false" ht="24" hidden="false" customHeight="true" outlineLevel="0" collapsed="false">
      <c r="A47" s="3" t="n">
        <v>46</v>
      </c>
      <c r="B47" s="4" t="s">
        <v>103</v>
      </c>
      <c r="C47" s="5" t="s">
        <v>107</v>
      </c>
      <c r="D47" s="6" t="n">
        <v>46470</v>
      </c>
      <c r="E47" s="6" t="n">
        <v>46487</v>
      </c>
      <c r="F47" s="3" t="n">
        <f aca="false">E47-D47</f>
        <v>17</v>
      </c>
      <c r="G47" s="5" t="s">
        <v>108</v>
      </c>
      <c r="H47" s="3" t="s">
        <v>22</v>
      </c>
      <c r="I47" s="5" t="s">
        <v>109</v>
      </c>
    </row>
    <row r="48" customFormat="false" ht="24" hidden="false" customHeight="true" outlineLevel="0" collapsed="false">
      <c r="A48" s="3" t="n">
        <v>47</v>
      </c>
      <c r="B48" s="4" t="s">
        <v>103</v>
      </c>
      <c r="C48" s="5" t="s">
        <v>110</v>
      </c>
      <c r="D48" s="6" t="n">
        <v>46487</v>
      </c>
      <c r="E48" s="6" t="n">
        <v>46507</v>
      </c>
      <c r="F48" s="3" t="n">
        <f aca="false">E48-D48</f>
        <v>20</v>
      </c>
      <c r="G48" s="5" t="s">
        <v>11</v>
      </c>
      <c r="H48" s="3" t="s">
        <v>22</v>
      </c>
      <c r="I48" s="5" t="s">
        <v>111</v>
      </c>
    </row>
    <row r="49" customFormat="false" ht="24" hidden="false" customHeight="true" outlineLevel="0" collapsed="false">
      <c r="A49" s="3" t="n">
        <v>48</v>
      </c>
      <c r="B49" s="4" t="s">
        <v>103</v>
      </c>
      <c r="C49" s="5" t="s">
        <v>112</v>
      </c>
      <c r="D49" s="6" t="n">
        <v>46507</v>
      </c>
      <c r="E49" s="6" t="n">
        <v>46522</v>
      </c>
      <c r="F49" s="3" t="n">
        <f aca="false">E49-D49</f>
        <v>15</v>
      </c>
      <c r="G49" s="5" t="s">
        <v>11</v>
      </c>
      <c r="H49" s="3" t="s">
        <v>22</v>
      </c>
      <c r="I49" s="5" t="s">
        <v>113</v>
      </c>
    </row>
    <row r="50" customFormat="false" ht="24" hidden="false" customHeight="true" outlineLevel="0" collapsed="false">
      <c r="A50" s="3" t="n">
        <v>49</v>
      </c>
      <c r="B50" s="4" t="s">
        <v>114</v>
      </c>
      <c r="C50" s="5" t="s">
        <v>115</v>
      </c>
      <c r="D50" s="6" t="n">
        <v>46327</v>
      </c>
      <c r="E50" s="6" t="n">
        <v>46341</v>
      </c>
      <c r="F50" s="3" t="n">
        <f aca="false">E50-D50</f>
        <v>14</v>
      </c>
      <c r="G50" s="5" t="s">
        <v>116</v>
      </c>
      <c r="H50" s="3" t="s">
        <v>22</v>
      </c>
      <c r="I50" s="5"/>
    </row>
    <row r="51" customFormat="false" ht="24" hidden="false" customHeight="true" outlineLevel="0" collapsed="false">
      <c r="A51" s="3" t="n">
        <v>50</v>
      </c>
      <c r="B51" s="4" t="s">
        <v>114</v>
      </c>
      <c r="C51" s="5" t="s">
        <v>117</v>
      </c>
      <c r="D51" s="6" t="n">
        <v>46341</v>
      </c>
      <c r="E51" s="6" t="n">
        <v>46348</v>
      </c>
      <c r="F51" s="3" t="n">
        <f aca="false">E51-D51</f>
        <v>7</v>
      </c>
      <c r="G51" s="5" t="s">
        <v>11</v>
      </c>
      <c r="H51" s="3" t="s">
        <v>22</v>
      </c>
      <c r="I51" s="5" t="s">
        <v>118</v>
      </c>
    </row>
    <row r="52" customFormat="false" ht="24" hidden="false" customHeight="true" outlineLevel="0" collapsed="false">
      <c r="A52" s="3" t="n">
        <v>51</v>
      </c>
      <c r="B52" s="4" t="s">
        <v>114</v>
      </c>
      <c r="C52" s="5" t="s">
        <v>119</v>
      </c>
      <c r="D52" s="6" t="n">
        <v>46348</v>
      </c>
      <c r="E52" s="6" t="n">
        <v>46447</v>
      </c>
      <c r="F52" s="3" t="n">
        <f aca="false">E52-D52</f>
        <v>99</v>
      </c>
      <c r="G52" s="5" t="s">
        <v>120</v>
      </c>
      <c r="H52" s="3" t="s">
        <v>22</v>
      </c>
      <c r="I52" s="5" t="s">
        <v>121</v>
      </c>
    </row>
    <row r="53" customFormat="false" ht="24" hidden="false" customHeight="true" outlineLevel="0" collapsed="false">
      <c r="A53" s="7" t="n">
        <v>52</v>
      </c>
      <c r="B53" s="8" t="s">
        <v>122</v>
      </c>
      <c r="C53" s="9" t="s">
        <v>123</v>
      </c>
      <c r="D53" s="10" t="n">
        <v>46461</v>
      </c>
      <c r="E53" s="10" t="n">
        <v>46461</v>
      </c>
      <c r="F53" s="7" t="n">
        <f aca="false">E53-D53</f>
        <v>0</v>
      </c>
      <c r="G53" s="9" t="s">
        <v>11</v>
      </c>
      <c r="H53" s="7" t="s">
        <v>22</v>
      </c>
      <c r="I53" s="9" t="s">
        <v>124</v>
      </c>
    </row>
    <row r="55" customFormat="false" ht="14.25" hidden="false" customHeight="true" outlineLevel="0" collapsed="false">
      <c r="B55" s="11" t="s">
        <v>125</v>
      </c>
    </row>
    <row r="56" customFormat="false" ht="14.25" hidden="false" customHeight="true" outlineLevel="0" collapsed="false">
      <c r="B56" s="12" t="s">
        <v>126</v>
      </c>
    </row>
    <row r="58" customFormat="false" ht="14.25" hidden="false" customHeight="true" outlineLevel="0" collapsed="false">
      <c r="B58" s="11" t="s">
        <v>127</v>
      </c>
    </row>
    <row r="59" customFormat="false" ht="14.25" hidden="false" customHeight="true" outlineLevel="0" collapsed="false">
      <c r="B59" s="13" t="s">
        <v>128</v>
      </c>
      <c r="C59" s="13" t="n">
        <f aca="false">COUNTIF(H2:H53,"Done")</f>
        <v>2</v>
      </c>
    </row>
    <row r="60" customFormat="false" ht="14.25" hidden="false" customHeight="true" outlineLevel="0" collapsed="false">
      <c r="B60" s="13" t="s">
        <v>129</v>
      </c>
      <c r="C60" s="13" t="n">
        <f aca="false">COUNTIF(H2:H53,"In progress")</f>
        <v>1</v>
      </c>
    </row>
    <row r="61" customFormat="false" ht="14.25" hidden="false" customHeight="true" outlineLevel="0" collapsed="false">
      <c r="B61" s="13" t="s">
        <v>130</v>
      </c>
      <c r="C61" s="13" t="n">
        <f aca="false">COUNTIF(H2:H53,"Not started")</f>
        <v>49</v>
      </c>
    </row>
    <row r="62" customFormat="false" ht="14.25" hidden="false" customHeight="true" outlineLevel="0" collapsed="false">
      <c r="B62" s="13" t="s">
        <v>131</v>
      </c>
      <c r="C62" s="14" t="n">
        <f aca="false">C59/COUNTA(H2:H53)</f>
        <v>0.0384615384615385</v>
      </c>
    </row>
  </sheetData>
  <conditionalFormatting sqref="H2:H53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1">
    <dataValidation allowBlank="false" errorStyle="stop" operator="between" showDropDown="false" showErrorMessage="false" showInputMessage="false" sqref="H2:H53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8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6" min="6" style="1" width="14"/>
  </cols>
  <sheetData>
    <row r="1" customFormat="false" ht="31.5" hidden="false" customHeight="true" outlineLevel="0" collapsed="false">
      <c r="A1" s="2" t="s">
        <v>0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7</v>
      </c>
    </row>
    <row r="2" customFormat="false" ht="42.75" hidden="false" customHeight="true" outlineLevel="0" collapsed="false">
      <c r="A2" s="3" t="n">
        <v>1</v>
      </c>
      <c r="B2" s="5" t="s">
        <v>136</v>
      </c>
      <c r="C2" s="5" t="s">
        <v>137</v>
      </c>
      <c r="D2" s="6" t="n">
        <v>46289</v>
      </c>
      <c r="E2" s="5" t="s">
        <v>138</v>
      </c>
      <c r="F2" s="3" t="s">
        <v>12</v>
      </c>
    </row>
    <row r="3" customFormat="false" ht="42.75" hidden="false" customHeight="true" outlineLevel="0" collapsed="false">
      <c r="A3" s="3" t="n">
        <v>2</v>
      </c>
      <c r="B3" s="5" t="s">
        <v>139</v>
      </c>
      <c r="C3" s="5" t="s">
        <v>140</v>
      </c>
      <c r="D3" s="6" t="n">
        <v>46292</v>
      </c>
      <c r="E3" s="5" t="s">
        <v>141</v>
      </c>
      <c r="F3" s="3" t="s">
        <v>16</v>
      </c>
    </row>
    <row r="4" customFormat="false" ht="81.75" hidden="false" customHeight="true" outlineLevel="0" collapsed="false">
      <c r="A4" s="3" t="n">
        <v>3</v>
      </c>
      <c r="B4" s="5" t="s">
        <v>142</v>
      </c>
      <c r="C4" s="5" t="s">
        <v>143</v>
      </c>
      <c r="D4" s="6" t="n">
        <v>46293</v>
      </c>
      <c r="E4" s="5" t="s">
        <v>144</v>
      </c>
      <c r="F4" s="3" t="s">
        <v>22</v>
      </c>
    </row>
    <row r="5" customFormat="false" ht="172.5" hidden="false" customHeight="true" outlineLevel="0" collapsed="false">
      <c r="A5" s="3" t="n">
        <v>4</v>
      </c>
      <c r="B5" s="5" t="s">
        <v>145</v>
      </c>
      <c r="C5" s="5" t="s">
        <v>146</v>
      </c>
      <c r="D5" s="6" t="n">
        <v>46298</v>
      </c>
      <c r="E5" s="5" t="s">
        <v>147</v>
      </c>
      <c r="F5" s="3" t="s">
        <v>22</v>
      </c>
    </row>
    <row r="6" customFormat="false" ht="55.5" hidden="false" customHeight="true" outlineLevel="0" collapsed="false">
      <c r="A6" s="3" t="n">
        <v>5</v>
      </c>
      <c r="B6" s="5" t="s">
        <v>148</v>
      </c>
      <c r="C6" s="5" t="s">
        <v>149</v>
      </c>
      <c r="D6" s="6" t="n">
        <v>46303</v>
      </c>
      <c r="E6" s="5" t="s">
        <v>150</v>
      </c>
      <c r="F6" s="3" t="s">
        <v>22</v>
      </c>
    </row>
    <row r="7" customFormat="false" ht="42.75" hidden="false" customHeight="true" outlineLevel="0" collapsed="false">
      <c r="A7" s="3" t="n">
        <v>6</v>
      </c>
      <c r="B7" s="5" t="s">
        <v>151</v>
      </c>
      <c r="C7" s="5" t="s">
        <v>152</v>
      </c>
      <c r="D7" s="6" t="n">
        <v>46308</v>
      </c>
      <c r="E7" s="5" t="s">
        <v>153</v>
      </c>
      <c r="F7" s="3" t="s">
        <v>22</v>
      </c>
    </row>
    <row r="8" customFormat="false" ht="69" hidden="false" customHeight="true" outlineLevel="0" collapsed="false">
      <c r="A8" s="3" t="n">
        <v>7</v>
      </c>
      <c r="B8" s="5" t="s">
        <v>154</v>
      </c>
      <c r="C8" s="5" t="s">
        <v>155</v>
      </c>
      <c r="D8" s="6" t="n">
        <v>46313</v>
      </c>
      <c r="E8" s="5" t="s">
        <v>156</v>
      </c>
      <c r="F8" s="3" t="s">
        <v>22</v>
      </c>
    </row>
    <row r="9" customFormat="false" ht="69" hidden="false" customHeight="true" outlineLevel="0" collapsed="false">
      <c r="A9" s="3" t="n">
        <v>8</v>
      </c>
      <c r="B9" s="5" t="s">
        <v>157</v>
      </c>
      <c r="C9" s="5" t="s">
        <v>158</v>
      </c>
      <c r="D9" s="6" t="n">
        <v>46316</v>
      </c>
      <c r="E9" s="5" t="s">
        <v>159</v>
      </c>
      <c r="F9" s="3" t="s">
        <v>22</v>
      </c>
    </row>
    <row r="10" customFormat="false" ht="30" hidden="false" customHeight="true" outlineLevel="0" collapsed="false">
      <c r="A10" s="3" t="n">
        <v>9</v>
      </c>
      <c r="B10" s="5" t="s">
        <v>160</v>
      </c>
      <c r="C10" s="5" t="s">
        <v>161</v>
      </c>
      <c r="D10" s="6" t="n">
        <v>46318</v>
      </c>
      <c r="E10" s="5" t="s">
        <v>162</v>
      </c>
      <c r="F10" s="3" t="s">
        <v>22</v>
      </c>
    </row>
    <row r="11" customFormat="false" ht="69" hidden="false" customHeight="true" outlineLevel="0" collapsed="false">
      <c r="A11" s="3" t="n">
        <v>10</v>
      </c>
      <c r="B11" s="5" t="s">
        <v>163</v>
      </c>
      <c r="C11" s="5" t="s">
        <v>164</v>
      </c>
      <c r="D11" s="6" t="n">
        <v>46334</v>
      </c>
      <c r="E11" s="5" t="s">
        <v>165</v>
      </c>
      <c r="F11" s="3" t="s">
        <v>22</v>
      </c>
    </row>
    <row r="12" customFormat="false" ht="42.75" hidden="false" customHeight="true" outlineLevel="0" collapsed="false">
      <c r="A12" s="3" t="n">
        <v>11</v>
      </c>
      <c r="B12" s="5" t="s">
        <v>166</v>
      </c>
      <c r="C12" s="5" t="s">
        <v>167</v>
      </c>
      <c r="D12" s="6" t="n">
        <v>46339</v>
      </c>
      <c r="E12" s="5" t="s">
        <v>168</v>
      </c>
      <c r="F12" s="3" t="s">
        <v>22</v>
      </c>
    </row>
    <row r="13" customFormat="false" ht="55.5" hidden="false" customHeight="true" outlineLevel="0" collapsed="false">
      <c r="A13" s="3" t="n">
        <v>12</v>
      </c>
      <c r="B13" s="5" t="s">
        <v>169</v>
      </c>
      <c r="C13" s="5" t="s">
        <v>170</v>
      </c>
      <c r="D13" s="6" t="n">
        <v>46346</v>
      </c>
      <c r="E13" s="5" t="s">
        <v>171</v>
      </c>
      <c r="F13" s="3" t="s">
        <v>22</v>
      </c>
    </row>
    <row r="14" customFormat="false" ht="30" hidden="false" customHeight="true" outlineLevel="0" collapsed="false">
      <c r="A14" s="3" t="n">
        <v>13</v>
      </c>
      <c r="B14" s="5" t="s">
        <v>172</v>
      </c>
      <c r="C14" s="5" t="s">
        <v>173</v>
      </c>
      <c r="D14" s="6" t="n">
        <v>46371</v>
      </c>
      <c r="E14" s="5" t="s">
        <v>174</v>
      </c>
      <c r="F14" s="3" t="s">
        <v>22</v>
      </c>
    </row>
    <row r="15" customFormat="false" ht="30" hidden="false" customHeight="true" outlineLevel="0" collapsed="false">
      <c r="A15" s="3" t="n">
        <v>14</v>
      </c>
      <c r="B15" s="5" t="s">
        <v>175</v>
      </c>
      <c r="C15" s="5" t="s">
        <v>176</v>
      </c>
      <c r="D15" s="6" t="n">
        <v>46376</v>
      </c>
      <c r="E15" s="5" t="s">
        <v>177</v>
      </c>
      <c r="F15" s="3" t="s">
        <v>22</v>
      </c>
    </row>
    <row r="16" customFormat="false" ht="42.75" hidden="false" customHeight="true" outlineLevel="0" collapsed="false">
      <c r="A16" s="3" t="n">
        <v>15</v>
      </c>
      <c r="B16" s="5" t="s">
        <v>178</v>
      </c>
      <c r="C16" s="5" t="s">
        <v>179</v>
      </c>
      <c r="D16" s="6" t="n">
        <v>46392</v>
      </c>
      <c r="E16" s="5" t="s">
        <v>180</v>
      </c>
      <c r="F16" s="3" t="s">
        <v>22</v>
      </c>
    </row>
    <row r="17" customFormat="false" ht="94.5" hidden="false" customHeight="true" outlineLevel="0" collapsed="false">
      <c r="A17" s="3" t="n">
        <v>16</v>
      </c>
      <c r="B17" s="5" t="s">
        <v>181</v>
      </c>
      <c r="C17" s="5" t="s">
        <v>182</v>
      </c>
      <c r="D17" s="6" t="n">
        <v>46341</v>
      </c>
      <c r="E17" s="5" t="s">
        <v>183</v>
      </c>
      <c r="F17" s="3" t="s">
        <v>22</v>
      </c>
    </row>
    <row r="18" customFormat="false" ht="81.75" hidden="false" customHeight="true" outlineLevel="0" collapsed="false">
      <c r="A18" s="3" t="n">
        <v>17</v>
      </c>
      <c r="B18" s="5" t="s">
        <v>184</v>
      </c>
      <c r="C18" s="5" t="s">
        <v>185</v>
      </c>
      <c r="D18" s="6" t="n">
        <v>46310</v>
      </c>
      <c r="E18" s="5" t="s">
        <v>186</v>
      </c>
      <c r="F18" s="3" t="s">
        <v>22</v>
      </c>
    </row>
    <row r="19" customFormat="false" ht="55.5" hidden="false" customHeight="true" outlineLevel="0" collapsed="false">
      <c r="A19" s="3" t="n">
        <v>18</v>
      </c>
      <c r="B19" s="5" t="s">
        <v>187</v>
      </c>
      <c r="C19" s="5" t="s">
        <v>188</v>
      </c>
      <c r="D19" s="6" t="n">
        <v>46297</v>
      </c>
      <c r="E19" s="5" t="s">
        <v>189</v>
      </c>
      <c r="F19" s="3" t="s">
        <v>22</v>
      </c>
    </row>
    <row r="20" customFormat="false" ht="42.75" hidden="false" customHeight="true" outlineLevel="0" collapsed="false">
      <c r="A20" s="3" t="n">
        <v>19</v>
      </c>
      <c r="B20" s="5" t="s">
        <v>190</v>
      </c>
      <c r="C20" s="5" t="s">
        <v>191</v>
      </c>
      <c r="D20" s="6" t="n">
        <v>46295</v>
      </c>
      <c r="E20" s="5" t="s">
        <v>192</v>
      </c>
      <c r="F20" s="3" t="s">
        <v>22</v>
      </c>
    </row>
    <row r="21" customFormat="false" ht="81.75" hidden="false" customHeight="true" outlineLevel="0" collapsed="false">
      <c r="A21" s="3" t="n">
        <v>20</v>
      </c>
      <c r="B21" s="5" t="s">
        <v>193</v>
      </c>
      <c r="C21" s="5" t="s">
        <v>194</v>
      </c>
      <c r="D21" s="6" t="n">
        <v>46301</v>
      </c>
      <c r="E21" s="5" t="s">
        <v>195</v>
      </c>
      <c r="F21" s="3" t="s">
        <v>22</v>
      </c>
    </row>
    <row r="22" customFormat="false" ht="81.75" hidden="false" customHeight="true" outlineLevel="0" collapsed="false">
      <c r="A22" s="3" t="n">
        <v>21</v>
      </c>
      <c r="B22" s="5" t="s">
        <v>196</v>
      </c>
      <c r="C22" s="5" t="s">
        <v>197</v>
      </c>
      <c r="D22" s="6" t="n">
        <v>46311</v>
      </c>
      <c r="E22" s="5" t="s">
        <v>198</v>
      </c>
      <c r="F22" s="3" t="s">
        <v>22</v>
      </c>
    </row>
    <row r="23" customFormat="false" ht="69" hidden="false" customHeight="true" outlineLevel="0" collapsed="false">
      <c r="A23" s="3" t="n">
        <v>22</v>
      </c>
      <c r="B23" s="5" t="s">
        <v>199</v>
      </c>
      <c r="C23" s="5" t="s">
        <v>200</v>
      </c>
      <c r="D23" s="6" t="n">
        <v>46322</v>
      </c>
      <c r="E23" s="5" t="s">
        <v>201</v>
      </c>
      <c r="F23" s="3" t="s">
        <v>22</v>
      </c>
    </row>
    <row r="24" customFormat="false" ht="81.75" hidden="false" customHeight="true" outlineLevel="0" collapsed="false">
      <c r="A24" s="3" t="n">
        <v>23</v>
      </c>
      <c r="B24" s="5" t="s">
        <v>202</v>
      </c>
      <c r="C24" s="5" t="s">
        <v>203</v>
      </c>
      <c r="D24" s="6" t="n">
        <v>46392</v>
      </c>
      <c r="E24" s="5" t="s">
        <v>204</v>
      </c>
      <c r="F24" s="3" t="s">
        <v>22</v>
      </c>
    </row>
    <row r="25" customFormat="false" ht="42.75" hidden="false" customHeight="true" outlineLevel="0" collapsed="false">
      <c r="A25" s="3" t="n">
        <v>24</v>
      </c>
      <c r="B25" s="5" t="s">
        <v>205</v>
      </c>
      <c r="C25" s="5" t="s">
        <v>206</v>
      </c>
      <c r="D25" s="6" t="n">
        <v>46470</v>
      </c>
      <c r="E25" s="5" t="s">
        <v>207</v>
      </c>
      <c r="F25" s="3" t="s">
        <v>22</v>
      </c>
    </row>
    <row r="26" customFormat="false" ht="69" hidden="false" customHeight="true" outlineLevel="0" collapsed="false">
      <c r="A26" s="3" t="n">
        <v>25</v>
      </c>
      <c r="B26" s="5" t="s">
        <v>208</v>
      </c>
      <c r="C26" s="5" t="s">
        <v>209</v>
      </c>
      <c r="D26" s="6" t="n">
        <v>46487</v>
      </c>
      <c r="E26" s="5" t="s">
        <v>210</v>
      </c>
      <c r="F26" s="3" t="s">
        <v>22</v>
      </c>
    </row>
    <row r="28" customFormat="false" ht="14.25" hidden="false" customHeight="true" outlineLevel="0" collapsed="false">
      <c r="B28" s="11" t="s">
        <v>127</v>
      </c>
    </row>
    <row r="29" customFormat="false" ht="14.25" hidden="false" customHeight="true" outlineLevel="0" collapsed="false">
      <c r="B29" s="13" t="s">
        <v>211</v>
      </c>
      <c r="C29" s="13" t="n">
        <f aca="false">COUNTIF(F2:F26,"Done")</f>
        <v>1</v>
      </c>
    </row>
    <row r="30" customFormat="false" ht="14.25" hidden="false" customHeight="true" outlineLevel="0" collapsed="false">
      <c r="B30" s="13" t="s">
        <v>212</v>
      </c>
      <c r="C30" s="13" t="n">
        <f aca="false">COUNTIF(F2:F26,"In progress")</f>
        <v>1</v>
      </c>
    </row>
    <row r="31" customFormat="false" ht="14.25" hidden="false" customHeight="true" outlineLevel="0" collapsed="false">
      <c r="B31" s="13" t="s">
        <v>213</v>
      </c>
      <c r="C31" s="13" t="n">
        <f aca="false">COUNTIF(F2:F26,"Not started")</f>
        <v>23</v>
      </c>
    </row>
    <row r="32" customFormat="false" ht="14.25" hidden="false" customHeight="true" outlineLevel="0" collapsed="false">
      <c r="B32" s="13" t="s">
        <v>131</v>
      </c>
      <c r="C32" s="14" t="n">
        <f aca="false">C29/COUNTA(F2:F26)</f>
        <v>0.04</v>
      </c>
    </row>
  </sheetData>
  <conditionalFormatting sqref="F2:F26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1">
    <dataValidation allowBlank="false" errorStyle="stop" operator="between" showDropDown="false" showErrorMessage="false" showInputMessage="false" sqref="F2:F26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46"/>
    <col collapsed="false" customWidth="true" hidden="false" outlineLevel="0" max="6" min="6" style="1" width="16"/>
  </cols>
  <sheetData>
    <row r="1" customFormat="false" ht="31.5" hidden="false" customHeight="true" outlineLevel="0" collapsed="false">
      <c r="A1" s="2" t="s">
        <v>214</v>
      </c>
      <c r="B1" s="2" t="s">
        <v>215</v>
      </c>
      <c r="C1" s="2" t="s">
        <v>216</v>
      </c>
      <c r="D1" s="2" t="s">
        <v>217</v>
      </c>
      <c r="E1" s="2" t="s">
        <v>218</v>
      </c>
      <c r="F1" s="2" t="s">
        <v>219</v>
      </c>
    </row>
    <row r="2" customFormat="false" ht="36.75" hidden="false" customHeight="true" outlineLevel="0" collapsed="false">
      <c r="A2" s="3" t="n">
        <v>1</v>
      </c>
      <c r="B2" s="3" t="s">
        <v>220</v>
      </c>
      <c r="C2" s="5" t="s">
        <v>221</v>
      </c>
      <c r="D2" s="5" t="s">
        <v>222</v>
      </c>
      <c r="E2" s="5" t="s">
        <v>223</v>
      </c>
      <c r="F2" s="3" t="s">
        <v>224</v>
      </c>
    </row>
    <row r="3" customFormat="false" ht="36.75" hidden="false" customHeight="true" outlineLevel="0" collapsed="false">
      <c r="A3" s="3" t="n">
        <v>2</v>
      </c>
      <c r="B3" s="3" t="s">
        <v>225</v>
      </c>
      <c r="C3" s="5" t="s">
        <v>226</v>
      </c>
      <c r="D3" s="5" t="s">
        <v>227</v>
      </c>
      <c r="E3" s="5" t="s">
        <v>228</v>
      </c>
      <c r="F3" s="3" t="s">
        <v>229</v>
      </c>
    </row>
    <row r="4" customFormat="false" ht="36.75" hidden="false" customHeight="true" outlineLevel="0" collapsed="false">
      <c r="A4" s="3" t="n">
        <v>3</v>
      </c>
      <c r="B4" s="3" t="s">
        <v>230</v>
      </c>
      <c r="C4" s="5" t="s">
        <v>231</v>
      </c>
      <c r="D4" s="5" t="s">
        <v>232</v>
      </c>
      <c r="E4" s="5" t="s">
        <v>233</v>
      </c>
      <c r="F4" s="3" t="s">
        <v>229</v>
      </c>
    </row>
    <row r="5" customFormat="false" ht="61.5" hidden="false" customHeight="true" outlineLevel="0" collapsed="false">
      <c r="A5" s="3" t="n">
        <v>4</v>
      </c>
      <c r="B5" s="3" t="s">
        <v>234</v>
      </c>
      <c r="C5" s="5" t="s">
        <v>235</v>
      </c>
      <c r="D5" s="5" t="s">
        <v>236</v>
      </c>
      <c r="E5" s="5" t="s">
        <v>237</v>
      </c>
      <c r="F5" s="3" t="s">
        <v>229</v>
      </c>
    </row>
    <row r="6" customFormat="false" ht="48.75" hidden="false" customHeight="true" outlineLevel="0" collapsed="false">
      <c r="A6" s="3" t="n">
        <v>5</v>
      </c>
      <c r="B6" s="3" t="s">
        <v>238</v>
      </c>
      <c r="C6" s="5" t="s">
        <v>239</v>
      </c>
      <c r="D6" s="5" t="s">
        <v>240</v>
      </c>
      <c r="E6" s="5" t="s">
        <v>241</v>
      </c>
      <c r="F6" s="3" t="s">
        <v>242</v>
      </c>
    </row>
    <row r="7" customFormat="false" ht="48.75" hidden="false" customHeight="true" outlineLevel="0" collapsed="false">
      <c r="A7" s="3" t="n">
        <v>6</v>
      </c>
      <c r="B7" s="3" t="s">
        <v>243</v>
      </c>
      <c r="C7" s="5" t="s">
        <v>244</v>
      </c>
      <c r="D7" s="5" t="s">
        <v>245</v>
      </c>
      <c r="E7" s="5" t="s">
        <v>246</v>
      </c>
      <c r="F7" s="3" t="s">
        <v>242</v>
      </c>
    </row>
    <row r="8" customFormat="false" ht="48.75" hidden="false" customHeight="true" outlineLevel="0" collapsed="false">
      <c r="A8" s="3" t="n">
        <v>7</v>
      </c>
      <c r="B8" s="3" t="s">
        <v>247</v>
      </c>
      <c r="C8" s="5" t="s">
        <v>248</v>
      </c>
      <c r="D8" s="5" t="s">
        <v>249</v>
      </c>
      <c r="E8" s="5" t="s">
        <v>250</v>
      </c>
      <c r="F8" s="3" t="s">
        <v>251</v>
      </c>
    </row>
    <row r="10" customFormat="false" ht="14.25" hidden="false" customHeight="true" outlineLevel="0" collapsed="false">
      <c r="A10" s="11" t="s">
        <v>252</v>
      </c>
    </row>
    <row r="11" customFormat="false" ht="60" hidden="false" customHeight="true" outlineLevel="0" collapsed="false">
      <c r="A11" s="15" t="s">
        <v>253</v>
      </c>
      <c r="B11" s="15"/>
      <c r="C11" s="15"/>
      <c r="D11" s="15"/>
      <c r="E11" s="15"/>
      <c r="F11" s="15"/>
    </row>
    <row r="13" customFormat="false" ht="14.25" hidden="false" customHeight="true" outlineLevel="0" collapsed="false">
      <c r="A13" s="11" t="s">
        <v>254</v>
      </c>
    </row>
    <row r="14" customFormat="false" ht="75" hidden="false" customHeight="true" outlineLevel="0" collapsed="false">
      <c r="A14" s="15" t="s">
        <v>255</v>
      </c>
      <c r="B14" s="15"/>
      <c r="C14" s="15"/>
      <c r="D14" s="15"/>
      <c r="E14" s="15"/>
      <c r="F14" s="15"/>
    </row>
  </sheetData>
  <mergeCells count="2">
    <mergeCell ref="A11:F1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2026-09-22T23:18:00Z</dcterms:created>
  <dc:creator>openpyxl</dc:creator>
  <dc:description/>
  <dc:language>en-US</dc:language>
  <cp:lastModifiedBy>Leonardo Angeli</cp:lastModifiedBy>
  <dcterms:modified xsi:type="dcterms:W3CDTF">2026-09-28T10:44:17Z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